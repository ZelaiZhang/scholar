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1fc141d1f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d7c1a3f1411143a0"/>
    <x:sheet xmlns:r="http://schemas.openxmlformats.org/officeDocument/2006/relationships" name="复检对照" sheetId="2" r:id="R14eddd9e15834fd2"/>
    <x:sheet xmlns:r="http://schemas.openxmlformats.org/officeDocument/2006/relationships" name="诊断数据" sheetId="3" r:id="Rf6a9ec36ecb4410e"/>
    <x:sheet xmlns:r="http://schemas.openxmlformats.org/officeDocument/2006/relationships" name="评分数据" sheetId="4" r:id="Ra920ba5bde374e67"/>
    <x:sheet xmlns:r="http://schemas.openxmlformats.org/officeDocument/2006/relationships" name="轮次数据" sheetId="5" r:id="R54884007c8374504"/>
    <x:sheet xmlns:r="http://schemas.openxmlformats.org/officeDocument/2006/relationships" name="树结构消融" sheetId="6" r:id="Rf14bffc8a887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%"/>
    <x:numFmt numFmtId="202" formatCode="0.000"/>
    <x:numFmt numFmtId="203" formatCode="0.00"/>
    <x:numFmt numFmtId="204" formatCode="+0.00;-0.00;0.00"/>
  </x:numFmts>
  <x:fonts count="7">
    <x:font>
      <x:sz val="11"/>
      <x:name val="Carlito"/>
    </x:font>
    <x:font>
      <x:sz val="11"/>
      <x:color rgb="FF182B49"/>
      <x:name val="Arial"/>
    </x:font>
    <x:font>
      <x:b/>
      <x:sz val="11"/>
      <x:color rgb="FFFFFFFF"/>
      <x:name val="Arial"/>
    </x:font>
    <x:font>
      <x:sz val="11"/>
      <x:color rgb="FF15646B"/>
      <x:name val="Arial"/>
    </x:font>
    <x:font>
      <x:i/>
      <x:sz val="11"/>
      <x:color rgb="FF52667A"/>
      <x:name val="Arial"/>
    </x:font>
    <x:font>
      <x:b/>
      <x:sz val="16"/>
      <x:color rgb="FF243B53"/>
      <x:name val="Arial"/>
    </x:font>
    <x:font>
      <x:b/>
      <x:sz val="11"/>
      <x:color rgb="FF5266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  <x:fill>
      <x:patternFill patternType="solid">
        <x:fgColor rgb="FFFFF3C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90f4a13a746c0" /><Relationship Type="http://schemas.openxmlformats.org/officeDocument/2006/relationships/theme" Target="/xl/theme/theme1.xml" Id="Rabcbc17210e042d9" /><Relationship Type="http://schemas.openxmlformats.org/officeDocument/2006/relationships/sharedStrings" Target="/xl/sharedStrings.xml" Id="R631902d60a4b4382" /><Relationship Type="http://schemas.openxmlformats.org/officeDocument/2006/relationships/worksheet" Target="/xl/worksheets/sheet1.xml" Id="Rd7c1a3f1411143a0" /><Relationship Type="http://schemas.openxmlformats.org/officeDocument/2006/relationships/worksheet" Target="/xl/worksheets/sheet2.xml" Id="R14eddd9e15834fd2" /><Relationship Type="http://schemas.openxmlformats.org/officeDocument/2006/relationships/worksheet" Target="/xl/worksheets/sheet3.xml" Id="Rf6a9ec36ecb4410e" /><Relationship Type="http://schemas.openxmlformats.org/officeDocument/2006/relationships/worksheet" Target="/xl/worksheets/sheet4.xml" Id="Ra920ba5bde374e67" /><Relationship Type="http://schemas.openxmlformats.org/officeDocument/2006/relationships/worksheet" Target="/xl/worksheets/sheet5.xml" Id="R54884007c8374504" /><Relationship Type="http://schemas.openxmlformats.org/officeDocument/2006/relationships/worksheet" Target="/xl/worksheets/sheet6.xml" Id="Rf14bffc8a8874712" /></Relationships>
</file>

<file path=xl/tables/table1.xml><?xml version="1.0" encoding="utf-8"?>
<x:table xmlns:x="http://schemas.openxmlformats.org/spreadsheetml/2006/main" id="1" name="DiagnosticRecords" displayName="DiagnosticRecords" ref="A1:V21" headerRowCount="1" totalsRowCount="0" totalsRowShown="0">
  <x:tableColumns count="22">
    <x:tableColumn id="1" name="记录ID"/>
    <x:tableColumn id="2" name="图片编号"/>
    <x:tableColumn id="3" name="实验ID"/>
    <x:tableColumn id="4" name="模型（原表）"/>
    <x:tableColumn id="5" name="方法"/>
    <x:tableColumn id="6" name="总体正确数"/>
    <x:tableColumn id="7" name="总体分母"/>
    <x:tableColumn id="8" name="正确树判对数"/>
    <x:tableColumn id="9" name="正确树分母"/>
    <x:tableColumn id="10" name="错误树排除数"/>
    <x:tableColumn id="11" name="错误树分母"/>
    <x:tableColumn id="12" name="原表总体率"/>
    <x:tableColumn id="13" name="原表正确树率"/>
    <x:tableColumn id="14" name="原表排除率"/>
    <x:tableColumn id="15" name="原表BA"/>
    <x:tableColumn id="16" name="计算总体率"/>
    <x:tableColumn id="17" name="计算正确树率"/>
    <x:tableColumn id="18" name="计算排除率"/>
    <x:tableColumn id="19" name="计算BA"/>
    <x:tableColumn id="20" name="计数/计算范围"/>
    <x:tableColumn id="21" name="失败政策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tingRecords" displayName="RatingRecords" ref="A1:M21" headerRowCount="1" totalsRowCount="0" totalsRowShown="0">
  <x:tableColumns count="13">
    <x:tableColumn id="1" name="记录ID"/>
    <x:tableColumn id="2" name="图片编号"/>
    <x:tableColumn id="3" name="实验ID"/>
    <x:tableColumn id="4" name="模型（原表）"/>
    <x:tableColumn id="5" name="方法"/>
    <x:tableColumn id="6" name="临床专业性"/>
    <x:tableColumn id="7" name="伦理安全性"/>
    <x:tableColumn id="8" name="评估准确性"/>
    <x:tableColumn id="9" name="综合能力"/>
    <x:tableColumn id="10" name="问诊完整性"/>
    <x:tableColumn id="11" name="LLM综合评分"/>
    <x:tableColumn id="12" name="评分版本"/>
    <x:tableColumn id="13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rnRecords" displayName="TurnRecords" ref="A1:M5" headerRowCount="1" totalsRowCount="0" totalsRowShown="0">
  <x:tableColumns count="13">
    <x:tableColumn id="1" name="方法"/>
    <x:tableColumn id="2" name="总体平均轮次"/>
    <x:tableColumn id="3" name="总体中位轮次"/>
    <x:tableColumn id="4" name="正确树平均轮次"/>
    <x:tableColumn id="5" name="正确树中位轮次"/>
    <x:tableColumn id="6" name="错误树平均轮次"/>
    <x:tableColumn id="7" name="错误树中位轮次"/>
    <x:tableColumn id="8" name="≤3轮结束数"/>
    <x:tableColumn id="9" name="判断总数"/>
    <x:tableColumn id="10" name="≤3轮比例"/>
    <x:tableColumn id="11" name="模型"/>
    <x:tableColumn id="12" name="版本对应"/>
    <x:tableColumn id="13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2a313107e04f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af3c06355f749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d41b04abe534bb9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17.219999313354492" hidden="0" customWidth="1"/>
    <x:col min="3" max="3" width="25" hidden="0" customWidth="1"/>
    <x:col min="4" max="4" width="15" hidden="0" customWidth="1"/>
    <x:col min="5" max="5" width="25" hidden="0" customWidth="1"/>
    <x:col min="6" max="6" width="22.219999313354492" hidden="0" customWidth="1"/>
    <x:col min="7" max="7" width="24.440000534057617" hidden="0" customWidth="1"/>
    <x:col min="8" max="8" width="27.780000686645508" hidden="0" customWidth="1"/>
    <x:col min="9" max="9" width="3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32" t="str">
        <x:v>诊断树实验汇总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31" t="str">
        <x:v>132 项候选树判断，源病例数待确认。三组主实验名称及树版本待研究者匹配。</x:v>
      </x:c>
      <x:c r="B4" s="2"/>
      <x:c r="C4" s="2"/>
      <x:c r="D4" s="2"/>
      <x:c r="E4" s="2"/>
      <x:c r="F4" s="2"/>
      <x:c r="G4" s="2"/>
      <x:c r="H4" s="2"/>
      <x:c r="I4" s="2"/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4" customHeight="1">
      <x:c r="A6" s="7" t="str">
        <x:v>Qwen 条件</x:v>
      </x:c>
      <x:c r="B6" s="8" t="str">
        <x:v>总体正确率</x:v>
      </x:c>
      <x:c r="C6" s="8" t="str">
        <x:v>正确树诊断率</x:v>
      </x:c>
      <x:c r="D6" s="8" t="str">
        <x:v>错误树排除率</x:v>
      </x:c>
      <x:c r="E6" s="8" t="str">
        <x:v>均衡准确率</x:v>
      </x:c>
      <x:c r="F6" s="9" t="str">
        <x:v>总体正确数</x:v>
      </x:c>
      <x:c r="G6" s="2"/>
      <x:c r="H6" s="2"/>
      <x:c r="I6" s="2"/>
    </x:row>
    <x:row r="7" ht="27" customHeight="1">
      <x:c r="A7" s="2" t="str">
        <x:v>Direct</x:v>
      </x:c>
      <x:c r="B7" s="17" t="n">
        <x:f>'诊断数据'!P18</x:f>
        <x:v>0.7803030303030303</x:v>
      </x:c>
      <x:c r="C7" s="17" t="n">
        <x:f>'诊断数据'!Q18</x:f>
        <x:v>0.8484848484848485</x:v>
      </x:c>
      <x:c r="D7" s="17" t="n">
        <x:f>'诊断数据'!R18</x:f>
        <x:v>0.7575757575757576</x:v>
      </x:c>
      <x:c r="E7" s="17" t="n">
        <x:f>'诊断数据'!S18</x:f>
        <x:v>0.803030303030303</x:v>
      </x:c>
      <x:c r="F7" s="13" t="n">
        <x:f>'诊断数据'!F18</x:f>
        <x:v>103</x:v>
      </x:c>
      <x:c r="G7" s="2"/>
      <x:c r="H7" s="2"/>
      <x:c r="I7" s="2"/>
    </x:row>
    <x:row r="8" ht="27" customHeight="1">
      <x:c r="A8" s="10" t="str">
        <x:v>CoT</x:v>
      </x:c>
      <x:c r="B8" s="18" t="n">
        <x:f>'诊断数据'!P19</x:f>
        <x:v>0.8181818181818182</x:v>
      </x:c>
      <x:c r="C8" s="18" t="n">
        <x:f>'诊断数据'!Q19</x:f>
        <x:v>0.9090909090909091</x:v>
      </x:c>
      <x:c r="D8" s="18" t="n">
        <x:f>'诊断数据'!R19</x:f>
        <x:v>0.7878787878787878</x:v>
      </x:c>
      <x:c r="E8" s="18" t="n">
        <x:f>'诊断数据'!S19</x:f>
        <x:v>0.8484848484848484</x:v>
      </x:c>
      <x:c r="F8" s="14" t="n">
        <x:f>'诊断数据'!F19</x:f>
        <x:v>108</x:v>
      </x:c>
      <x:c r="G8" s="2"/>
      <x:c r="H8" s="2"/>
      <x:c r="I8" s="2"/>
    </x:row>
    <x:row r="9" ht="27" customHeight="1">
      <x:c r="A9" s="2" t="str">
        <x:v>ICL</x:v>
      </x:c>
      <x:c r="B9" s="17" t="n">
        <x:f>'诊断数据'!P20</x:f>
        <x:v>0.8409090909090909</x:v>
      </x:c>
      <x:c r="C9" s="17" t="n">
        <x:f>'诊断数据'!Q20</x:f>
        <x:v>0.8787878787878788</x:v>
      </x:c>
      <x:c r="D9" s="17" t="n">
        <x:f>'诊断数据'!R20</x:f>
        <x:v>0.8282828282828283</x:v>
      </x:c>
      <x:c r="E9" s="17" t="n">
        <x:f>'诊断数据'!S20</x:f>
        <x:v>0.8535353535353536</x:v>
      </x:c>
      <x:c r="F9" s="13" t="n">
        <x:f>'诊断数据'!F20</x:f>
        <x:v>111</x:v>
      </x:c>
      <x:c r="G9" s="2"/>
      <x:c r="H9" s="2"/>
      <x:c r="I9" s="2"/>
    </x:row>
    <x:row r="10" ht="27" customHeight="1">
      <x:c r="A10" s="10" t="str">
        <x:v>Ours 无复判</x:v>
      </x:c>
      <x:c r="B10" s="18" t="n">
        <x:f>'诊断数据'!P13</x:f>
        <x:v>0.8333333333333334</x:v>
      </x:c>
      <x:c r="C10" s="18" t="n">
        <x:f>'诊断数据'!Q13</x:f>
        <x:v>0.9393939393939394</x:v>
      </x:c>
      <x:c r="D10" s="18" t="n">
        <x:f>'诊断数据'!R13</x:f>
        <x:v>0.797979797979798</x:v>
      </x:c>
      <x:c r="E10" s="18" t="n">
        <x:f>'诊断数据'!S13</x:f>
        <x:v>0.8686868686868687</x:v>
      </x:c>
      <x:c r="F10" s="14" t="n">
        <x:f>'诊断数据'!F13</x:f>
        <x:v>110</x:v>
      </x:c>
      <x:c r="G10" s="2"/>
      <x:c r="H10" s="2"/>
      <x:c r="I10" s="2"/>
    </x:row>
    <x:row r="11" ht="27" customHeight="1">
      <x:c r="A11" s="2" t="str">
        <x:v>Ours 加复判</x:v>
      </x:c>
      <x:c r="B11" s="17" t="n">
        <x:f>'诊断数据'!P21</x:f>
        <x:v>0.8863636363636364</x:v>
      </x:c>
      <x:c r="C11" s="17" t="n">
        <x:f>'诊断数据'!Q21</x:f>
        <x:v>0.9696969696969697</x:v>
      </x:c>
      <x:c r="D11" s="17" t="n">
        <x:f>'诊断数据'!R21</x:f>
        <x:v>0.8585858585858586</x:v>
      </x:c>
      <x:c r="E11" s="17" t="n">
        <x:f>'诊断数据'!S21</x:f>
        <x:v>0.9141414141414141</x:v>
      </x:c>
      <x:c r="F11" s="13" t="n">
        <x:f>'诊断数据'!F21</x:f>
        <x:v>117</x:v>
      </x:c>
      <x:c r="G11" s="2"/>
      <x:c r="H11" s="2"/>
      <x:c r="I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7" customHeight="1">
      <x:c r="A13" s="31" t="str">
        <x:v>复检净变化见“复检对照”。图片 #6/#7 诊断数相同，评分更新，不是两次独立重复。</x:v>
      </x:c>
      <x:c r="B13" s="2"/>
      <x:c r="C13" s="2"/>
      <x:c r="D13" s="2"/>
      <x:c r="E13" s="2"/>
      <x:c r="F13" s="2"/>
      <x:c r="G13" s="2"/>
      <x:c r="H13" s="2"/>
      <x:c r="I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44" customHeight="1">
      <x:c r="A16" s="7" t="str">
        <x:v>实验ID</x:v>
      </x:c>
      <x:c r="B16" s="8" t="str">
        <x:v>整理类别</x:v>
      </x:c>
      <x:c r="C16" s="8" t="str">
        <x:v>模型（现有记录）</x:v>
      </x:c>
      <x:c r="D16" s="8" t="str">
        <x:v>涉及图片</x:v>
      </x:c>
      <x:c r="E16" s="8" t="str">
        <x:v>树结构版本</x:v>
      </x:c>
      <x:c r="F16" s="8" t="str">
        <x:v>复检状态</x:v>
      </x:c>
      <x:c r="G16" s="8" t="str">
        <x:v>记录状态</x:v>
      </x:c>
      <x:c r="H16" s="8" t="str">
        <x:v>需核对内容</x:v>
      </x:c>
      <x:c r="I16" s="9" t="str">
        <x:v>研究者补充</x:v>
      </x:c>
    </x:row>
    <x:row r="17" ht="52" customHeight="1">
      <x:c r="A17" s="21" t="str">
        <x:v>E01</x:v>
      </x:c>
      <x:c r="B17" s="21" t="str">
        <x:v>主实验 A</x:v>
      </x:c>
      <x:c r="C17" s="21" t="str">
        <x:v>未注明</x:v>
      </x:c>
      <x:c r="D17" s="21" t="str">
        <x:v>#1</x:v>
      </x:c>
      <x:c r="E17" s="21" t="str">
        <x:v>待匹配</x:v>
      </x:c>
      <x:c r="F17" s="21" t="str">
        <x:v>待确认</x:v>
      </x:c>
      <x:c r="G17" s="21" t="str">
        <x:v>已有诊断与评分</x:v>
      </x:c>
      <x:c r="H17" s="21" t="str">
        <x:v>模型、运行版本、树改动</x:v>
      </x:c>
      <x:c r="I17" s="38"/>
    </x:row>
    <x:row r="18" ht="52" customHeight="1">
      <x:c r="A18" s="22" t="str">
        <x:v>E02</x:v>
      </x:c>
      <x:c r="B18" s="22" t="str">
        <x:v>主实验 B</x:v>
      </x:c>
      <x:c r="C18" s="22" t="str">
        <x:v>未注明</x:v>
      </x:c>
      <x:c r="D18" s="22" t="str">
        <x:v>#4</x:v>
      </x:c>
      <x:c r="E18" s="22" t="str">
        <x:v>待匹配</x:v>
      </x:c>
      <x:c r="F18" s="22" t="str">
        <x:v>待确认</x:v>
      </x:c>
      <x:c r="G18" s="22" t="str">
        <x:v>有负结果和2条失败</x:v>
      </x:c>
      <x:c r="H18" s="22" t="str">
        <x:v>模型、星号与失败计分</x:v>
      </x:c>
      <x:c r="I18" s="38"/>
    </x:row>
    <x:row r="19" ht="52" customHeight="1">
      <x:c r="A19" s="21" t="str">
        <x:v>E03</x:v>
      </x:c>
      <x:c r="B19" s="21" t="str">
        <x:v>主实验 Qwen</x:v>
      </x:c>
      <x:c r="C19" s="21" t="str">
        <x:v>Qwen3.5-35B-A3B</x:v>
      </x:c>
      <x:c r="D19" s="21" t="str">
        <x:v>#5</x:v>
      </x:c>
      <x:c r="E19" s="21" t="str">
        <x:v>待匹配</x:v>
      </x:c>
      <x:c r="F19" s="21" t="str">
        <x:v>未加最终复判</x:v>
      </x:c>
      <x:c r="G19" s="21" t="str">
        <x:v>诊断、评分均有效</x:v>
      </x:c>
      <x:c r="H19" s="21" t="str">
        <x:v>树版本、病例分组、提示</x:v>
      </x:c>
      <x:c r="I19" s="38"/>
    </x:row>
    <x:row r="20" ht="52" customHeight="1">
      <x:c r="A20" s="22" t="str">
        <x:v>E04</x:v>
      </x:c>
      <x:c r="B20" s="22" t="str">
        <x:v>Qwen 加复检</x:v>
      </x:c>
      <x:c r="C20" s="22" t="str">
        <x:v>Qwen3.5-35B-A3B</x:v>
      </x:c>
      <x:c r="D20" s="22" t="str">
        <x:v>#6/#7</x:v>
      </x:c>
      <x:c r="E20" s="22" t="str">
        <x:v>据此前说明仅加复判</x:v>
      </x:c>
      <x:c r="F20" s="22" t="str">
        <x:v>最终独立复判</x:v>
      </x:c>
      <x:c r="G20" s="22" t="str">
        <x:v>同计数，#7评分更新</x:v>
      </x:c>
      <x:c r="H20" s="22" t="str">
        <x:v>结构改动是否另有版本</x:v>
      </x:c>
      <x:c r="I20" s="38"/>
    </x:row>
    <x:row r="21" ht="52" customHeight="1">
      <x:c r="A21" s="21" t="str">
        <x:v>E05</x:v>
      </x:c>
      <x:c r="B21" s="21" t="str">
        <x:v>轮次附表</x:v>
      </x:c>
      <x:c r="C21" s="21" t="str">
        <x:v>未注明</x:v>
      </x:c>
      <x:c r="D21" s="21" t="str">
        <x:v>#2</x:v>
      </x:c>
      <x:c r="E21" s="21" t="str">
        <x:v>待匹配</x:v>
      </x:c>
      <x:c r="F21" s="21" t="str">
        <x:v>待确认</x:v>
      </x:c>
      <x:c r="G21" s="21" t="str">
        <x:v>只有轮次表</x:v>
      </x:c>
      <x:c r="H21" s="21" t="str">
        <x:v>属于哪组主实验/版本</x:v>
      </x:c>
      <x:c r="I21" s="38"/>
    </x:row>
    <x:row r="22" ht="52" customHeight="1">
      <x:c r="A22" s="22" t="str">
        <x:v>E06</x:v>
      </x:c>
      <x:c r="B22" s="22" t="str">
        <x:v>新增节点消融</x:v>
      </x:c>
      <x:c r="C22" s="22" t="str">
        <x:v>待确认</x:v>
      </x:c>
      <x:c r="D22" s="22" t="str">
        <x:v>未匹配</x:v>
      </x:c>
      <x:c r="E22" s="22" t="str">
        <x:v>新增节点</x:v>
      </x:c>
      <x:c r="F22" s="22" t="str">
        <x:v>待确认</x:v>
      </x:c>
      <x:c r="G22" s="22" t="str">
        <x:v>未匹配结果</x:v>
      </x:c>
      <x:c r="H22" s="22" t="str">
        <x:v>新节点、对照与结果表</x:v>
      </x:c>
      <x:c r="I22" s="38"/>
    </x:row>
    <x:row r="23" ht="52" customHeight="1">
      <x:c r="A23" s="21" t="str">
        <x:v>E07</x:v>
      </x:c>
      <x:c r="B23" s="21" t="str">
        <x:v>DSM 补树消融</x:v>
      </x:c>
      <x:c r="C23" s="21" t="str">
        <x:v>待确认</x:v>
      </x:c>
      <x:c r="D23" s="21" t="str">
        <x:v>未匹配</x:v>
      </x:c>
      <x:c r="E23" s="21" t="str">
        <x:v>用 DSM 补充树</x:v>
      </x:c>
      <x:c r="F23" s="21" t="str">
        <x:v>待确认</x:v>
      </x:c>
      <x:c r="G23" s="21" t="str">
        <x:v>未匹配结果</x:v>
      </x:c>
      <x:c r="H23" s="21" t="str">
        <x:v>DSM版本、改动与结果表</x:v>
      </x:c>
      <x:c r="I23" s="38"/>
    </x:row>
    <x:row r="24" ht="52" customHeight="1">
      <x:c r="A24" s="22" t="str">
        <x:v>M01</x:v>
      </x:c>
      <x:c r="B24" s="22" t="str">
        <x:v>方法图</x:v>
      </x:c>
      <x:c r="C24" s="22" t="str">
        <x:v>不适用</x:v>
      </x:c>
      <x:c r="D24" s="22" t="str">
        <x:v>#3</x:v>
      </x:c>
      <x:c r="E24" s="22" t="str">
        <x:v>图示知识树</x:v>
      </x:c>
      <x:c r="F24" s="22" t="str">
        <x:v>部分模块 Planned</x:v>
      </x:c>
      <x:c r="G24" s="22" t="str">
        <x:v>架构，不算实验</x:v>
      </x:c>
      <x:c r="H24" s="22" t="str">
        <x:v>代码实现与图示版本</x:v>
      </x:c>
      <x:c r="I24" s="38"/>
    </x:row>
    <x:row r="25" ht="27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7" customHeight="1">
      <x:c r="A27" s="2" t="str">
        <x:v>黄色列供填写实验对应关系。修改诊断数据中的计数会自动更新计算率及复检对照。</x:v>
      </x:c>
      <x:c r="B27" s="2"/>
      <x:c r="C27" s="2"/>
      <x:c r="D27" s="2"/>
      <x:c r="E27" s="2"/>
      <x:c r="F27" s="2"/>
      <x:c r="G27" s="2"/>
      <x:c r="H27" s="2"/>
      <x:c r="I27" s="2"/>
    </x:row>
    <x:row r="28" ht="27" customHeight="1">
      <x:c r="A28" s="2" t="str">
        <x:v>原表值与计算值分列。空白代表未提供，不是 0；全部为研究者聚合材料，实验尚未独立审核。</x:v>
      </x:c>
      <x:c r="B28" s="2"/>
      <x:c r="C28" s="2"/>
      <x:c r="D28" s="2"/>
      <x:c r="E28" s="2"/>
      <x:c r="F28" s="2"/>
      <x:c r="G28" s="2"/>
      <x:c r="H28" s="2"/>
      <x:c r="I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8.889999389648438" hidden="0" customWidth="1"/>
    <x:col min="3" max="3" width="15" hidden="0" customWidth="1"/>
    <x:col min="4" max="4" width="15.5600004196167" hidden="0" customWidth="1"/>
    <x:col min="5" max="5" width="22.780000686645508" hidden="0" customWidth="1"/>
    <x:col min="6" max="6" width="16.670000076293945" hidden="0" customWidth="1"/>
    <x:col min="7" max="7" width="16.67000007629394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</x:row>
    <x:row r="2" ht="27" customHeight="1">
      <x:c r="A2" s="32" t="str">
        <x:v>Qwen 最终独立复判前后</x:v>
      </x:c>
      <x:c r="B2" s="2"/>
      <x:c r="C2" s="2"/>
      <x:c r="D2" s="2"/>
      <x:c r="E2" s="2"/>
      <x:c r="F2" s="2"/>
      <x:c r="G2" s="2"/>
    </x:row>
    <x:row r="3" ht="27" customHeight="1">
      <x:c r="A3" s="2"/>
      <x:c r="B3" s="2"/>
      <x:c r="C3" s="2"/>
      <x:c r="D3" s="2"/>
      <x:c r="E3" s="2"/>
      <x:c r="F3" s="2"/>
      <x:c r="G3" s="2"/>
    </x:row>
    <x:row r="4" ht="44" customHeight="1">
      <x:c r="A4" s="7" t="str">
        <x:v>指标</x:v>
      </x:c>
      <x:c r="B4" s="8" t="str">
        <x:v>复判前</x:v>
      </x:c>
      <x:c r="C4" s="8" t="str">
        <x:v>复判后</x:v>
      </x:c>
      <x:c r="D4" s="8" t="str">
        <x:v>净变化</x:v>
      </x:c>
      <x:c r="E4" s="8" t="str">
        <x:v>单位</x:v>
      </x:c>
      <x:c r="F4" s="8" t="str">
        <x:v>复判前分母</x:v>
      </x:c>
      <x:c r="G4" s="9" t="str">
        <x:v>复判后分母</x:v>
      </x:c>
    </x:row>
    <x:row r="5" ht="27" customHeight="1">
      <x:c r="A5" s="2" t="str">
        <x:v>总体正确数</x:v>
      </x:c>
      <x:c r="B5" s="13" t="n">
        <x:f>'诊断数据'!F13</x:f>
        <x:v>110</x:v>
      </x:c>
      <x:c r="C5" s="13" t="n">
        <x:f>'诊断数据'!F21</x:f>
        <x:v>117</x:v>
      </x:c>
      <x:c r="D5" s="13" t="n">
        <x:f>C5-B5</x:f>
        <x:v>7</x:v>
      </x:c>
      <x:c r="E5" s="2" t="str">
        <x:v>项</x:v>
      </x:c>
      <x:c r="F5" s="13" t="n">
        <x:f>'诊断数据'!G13</x:f>
        <x:v>132</x:v>
      </x:c>
      <x:c r="G5" s="13" t="n">
        <x:f>'诊断数据'!G21</x:f>
        <x:v>132</x:v>
      </x:c>
    </x:row>
    <x:row r="6" ht="27" customHeight="1">
      <x:c r="A6" s="10" t="str">
        <x:v>正确树判对数</x:v>
      </x:c>
      <x:c r="B6" s="14" t="n">
        <x:f>'诊断数据'!H13</x:f>
        <x:v>31</x:v>
      </x:c>
      <x:c r="C6" s="14" t="n">
        <x:f>'诊断数据'!H21</x:f>
        <x:v>32</x:v>
      </x:c>
      <x:c r="D6" s="14" t="n">
        <x:f>C6-B6</x:f>
        <x:v>1</x:v>
      </x:c>
      <x:c r="E6" s="10" t="str">
        <x:v>项</x:v>
      </x:c>
      <x:c r="F6" s="14" t="n">
        <x:f>'诊断数据'!I13</x:f>
        <x:v>33</x:v>
      </x:c>
      <x:c r="G6" s="14" t="n">
        <x:f>'诊断数据'!I21</x:f>
        <x:v>33</x:v>
      </x:c>
    </x:row>
    <x:row r="7" ht="27" customHeight="1">
      <x:c r="A7" s="2" t="str">
        <x:v>错误树排除数</x:v>
      </x:c>
      <x:c r="B7" s="13" t="n">
        <x:f>'诊断数据'!J13</x:f>
        <x:v>79</x:v>
      </x:c>
      <x:c r="C7" s="13" t="n">
        <x:f>'诊断数据'!J21</x:f>
        <x:v>85</x:v>
      </x:c>
      <x:c r="D7" s="13" t="n">
        <x:f>C7-B7</x:f>
        <x:v>6</x:v>
      </x:c>
      <x:c r="E7" s="2" t="str">
        <x:v>项</x:v>
      </x:c>
      <x:c r="F7" s="13" t="n">
        <x:f>'诊断数据'!K13</x:f>
        <x:v>99</x:v>
      </x:c>
      <x:c r="G7" s="13" t="n">
        <x:f>'诊断数据'!K21</x:f>
        <x:v>99</x:v>
      </x:c>
    </x:row>
    <x:row r="8" ht="27" customHeight="1">
      <x:c r="A8" s="10" t="str">
        <x:v>总体正确率</x:v>
      </x:c>
      <x:c r="B8" s="18" t="n">
        <x:f>'诊断数据'!P13</x:f>
        <x:v>0.8333333333333334</x:v>
      </x:c>
      <x:c r="C8" s="18" t="n">
        <x:f>'诊断数据'!P21</x:f>
        <x:v>0.8863636363636364</x:v>
      </x:c>
      <x:c r="D8" s="35" t="n">
        <x:f>(C8-B8)*100</x:f>
        <x:v>5.303030303030298</x:v>
      </x:c>
      <x:c r="E8" s="10" t="str">
        <x:v>变化以百分点表示</x:v>
      </x:c>
      <x:c r="F8" s="14" t="n">
        <x:f>'诊断数据'!G13</x:f>
        <x:v>132</x:v>
      </x:c>
      <x:c r="G8" s="14" t="n">
        <x:f>'诊断数据'!G21</x:f>
        <x:v>132</x:v>
      </x:c>
    </x:row>
    <x:row r="9" ht="27" customHeight="1">
      <x:c r="A9" s="2" t="str">
        <x:v>正确树诊断率</x:v>
      </x:c>
      <x:c r="B9" s="17" t="n">
        <x:f>'诊断数据'!Q13</x:f>
        <x:v>0.9393939393939394</x:v>
      </x:c>
      <x:c r="C9" s="17" t="n">
        <x:f>'诊断数据'!Q21</x:f>
        <x:v>0.9696969696969697</x:v>
      </x:c>
      <x:c r="D9" s="34" t="n">
        <x:f>(C9-B9)*100</x:f>
        <x:v>3.0303030303030276</x:v>
      </x:c>
      <x:c r="E9" s="2" t="str">
        <x:v>变化以百分点表示</x:v>
      </x:c>
      <x:c r="F9" s="13" t="n">
        <x:f>'诊断数据'!I13</x:f>
        <x:v>33</x:v>
      </x:c>
      <x:c r="G9" s="13" t="n">
        <x:f>'诊断数据'!I21</x:f>
        <x:v>33</x:v>
      </x:c>
    </x:row>
    <x:row r="10" ht="27" customHeight="1">
      <x:c r="A10" s="10" t="str">
        <x:v>错误树排除率</x:v>
      </x:c>
      <x:c r="B10" s="18" t="n">
        <x:f>'诊断数据'!R13</x:f>
        <x:v>0.797979797979798</x:v>
      </x:c>
      <x:c r="C10" s="18" t="n">
        <x:f>'诊断数据'!R21</x:f>
        <x:v>0.8585858585858586</x:v>
      </x:c>
      <x:c r="D10" s="35" t="n">
        <x:f>(C10-B10)*100</x:f>
        <x:v>6.060606060606055</x:v>
      </x:c>
      <x:c r="E10" s="10" t="str">
        <x:v>变化以百分点表示</x:v>
      </x:c>
      <x:c r="F10" s="14" t="n">
        <x:f>'诊断数据'!K13</x:f>
        <x:v>99</x:v>
      </x:c>
      <x:c r="G10" s="14" t="n">
        <x:f>'诊断数据'!K21</x:f>
        <x:v>99</x:v>
      </x:c>
    </x:row>
    <x:row r="11" ht="27" customHeight="1">
      <x:c r="A11" s="2" t="str">
        <x:v>均衡准确率</x:v>
      </x:c>
      <x:c r="B11" s="17" t="n">
        <x:f>'诊断数据'!S13</x:f>
        <x:v>0.8686868686868687</x:v>
      </x:c>
      <x:c r="C11" s="17" t="n">
        <x:f>'诊断数据'!S21</x:f>
        <x:v>0.9141414141414141</x:v>
      </x:c>
      <x:c r="D11" s="34" t="n">
        <x:f>(C11-B11)*100</x:f>
        <x:v>4.545454545454541</x:v>
      </x:c>
      <x:c r="E11" s="2" t="str">
        <x:v>变化以百分点表示</x:v>
      </x:c>
      <x:c r="F11" s="13"/>
      <x:c r="G11" s="13"/>
    </x:row>
    <x:row r="12" ht="27" customHeight="1">
      <x:c r="A12" s="2"/>
      <x:c r="B12" s="2"/>
      <x:c r="C12" s="2"/>
      <x:c r="D12" s="2"/>
      <x:c r="E12" s="2"/>
      <x:c r="F12" s="2"/>
      <x:c r="G12" s="2"/>
    </x:row>
    <x:row r="13" ht="27" customHeight="1">
      <x:c r="A13" s="2"/>
      <x:c r="B13" s="2"/>
      <x:c r="C13" s="2"/>
      <x:c r="D13" s="2"/>
      <x:c r="E13" s="2"/>
      <x:c r="F13" s="2"/>
      <x:c r="G13" s="2"/>
    </x:row>
    <x:row r="14" ht="27" customHeight="1">
      <x:c r="A14" s="36" t="str">
        <x:v>比较范围</x:v>
      </x:c>
      <x:c r="B14" s="37" t="str">
        <x:v>同模型同病例、只增加复判：研究者确认，运行日志未审</x:v>
      </x:c>
      <x:c r="C14" s="2"/>
      <x:c r="D14" s="2"/>
      <x:c r="E14" s="2"/>
      <x:c r="F14" s="2"/>
      <x:c r="G14" s="2"/>
    </x:row>
    <x:row r="15" ht="27" customHeight="1">
      <x:c r="A15" s="36" t="str">
        <x:v>复判操作</x:v>
      </x:c>
      <x:c r="B15" s="2" t="str">
        <x:v>对树输出做最终独立复判</x:v>
      </x:c>
      <x:c r="C15" s="2"/>
      <x:c r="D15" s="2"/>
      <x:c r="E15" s="2"/>
      <x:c r="F15" s="2"/>
      <x:c r="G15" s="2"/>
    </x:row>
    <x:row r="16" ht="27" customHeight="1">
      <x:c r="A16" s="36" t="str">
        <x:v>配对改判</x:v>
      </x:c>
      <x:c r="B16" s="2" t="str">
        <x:v>只知净 +7，纠错数与改坏数未提供</x:v>
      </x:c>
      <x:c r="C16" s="2"/>
      <x:c r="D16" s="2"/>
      <x:c r="E16" s="2"/>
      <x:c r="F16" s="2"/>
      <x:c r="G16" s="2"/>
    </x:row>
    <x:row r="17" ht="27" customHeight="1">
      <x:c r="A17" s="36" t="str">
        <x:v>数据单位</x:v>
      </x:c>
      <x:c r="B17" s="2" t="str">
        <x:v>132 项候选树判断；源病例分组待确认</x:v>
      </x:c>
      <x:c r="C17" s="2"/>
      <x:c r="D17" s="2"/>
      <x:c r="E17" s="2"/>
      <x:c r="F17" s="2"/>
      <x:c r="G17" s="2"/>
    </x:row>
    <x:row r="18" ht="27" customHeight="1">
      <x:c r="A18" s="36" t="str">
        <x:v>结构改动</x:v>
      </x:c>
      <x:c r="B18" s="2" t="str">
        <x:v>新增节点/DSM补树尚未匹配结果，不并入此次复判差异</x:v>
      </x:c>
      <x:c r="C18" s="2"/>
      <x:c r="D18" s="2"/>
      <x:c r="E18" s="2"/>
      <x:c r="F18" s="2"/>
      <x:c r="G18" s="2"/>
    </x:row>
    <x:row r="19" ht="27" customHeight="1">
      <x:c r="A19" s="2"/>
      <x:c r="B19" s="2"/>
      <x:c r="C19" s="2"/>
      <x:c r="D19" s="2"/>
      <x:c r="E19" s="2"/>
      <x:c r="F19" s="2"/>
      <x:c r="G19" s="2"/>
    </x:row>
    <x:row r="20" ht="44" customHeight="1">
      <x:c r="A20" s="7" t="str">
        <x:v>一项正确判断改变率</x:v>
      </x:c>
      <x:c r="B20" s="8" t="str">
        <x:v>正确树</x:v>
      </x:c>
      <x:c r="C20" s="8" t="str">
        <x:v>错误树</x:v>
      </x:c>
      <x:c r="D20" s="9" t="str">
        <x:v>单位</x:v>
      </x:c>
      <x:c r="E20" s="2"/>
      <x:c r="F20" s="2"/>
      <x:c r="G20" s="2"/>
    </x:row>
    <x:row r="21" ht="27" customHeight="1">
      <x:c r="A21" s="2" t="str">
        <x:v>比例变化</x:v>
      </x:c>
      <x:c r="B21" s="29" t="n">
        <x:f>100/'诊断数据'!I13</x:f>
        <x:v>3.0303030303030303</x:v>
      </x:c>
      <x:c r="C21" s="29" t="n">
        <x:f>100/'诊断数据'!K13</x:f>
        <x:v>1.0101010101010102</x:v>
      </x:c>
      <x:c r="D21" s="2" t="str">
        <x:v>百分点</x:v>
      </x:c>
      <x:c r="E21" s="2"/>
      <x:c r="F21" s="2"/>
      <x:c r="G21" s="2"/>
    </x:row>
    <x:row r="22" ht="27" customHeight="1">
      <x:c r="A22" s="2"/>
      <x:c r="B22" s="2"/>
      <x:c r="C22" s="2"/>
      <x:c r="D22" s="2"/>
      <x:c r="E22" s="2"/>
      <x:c r="F22" s="2"/>
      <x:c r="G2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219999313354492" hidden="0" customWidth="1"/>
    <x:col min="2" max="2" width="8.329999923706055" hidden="0" customWidth="1"/>
    <x:col min="3" max="3" width="9.4399995803833" hidden="0" customWidth="1"/>
    <x:col min="4" max="4" width="22.219999313354492" hidden="0" customWidth="1"/>
    <x:col min="5" max="5" width="10" hidden="0" customWidth="1"/>
    <x:col min="6" max="6" width="12.220000267028809" hidden="0" customWidth="1"/>
    <x:col min="7" max="7" width="11.109999656677246" hidden="0" customWidth="1"/>
    <x:col min="8" max="8" width="12.779999732971191" hidden="0" customWidth="1"/>
    <x:col min="9" max="9" width="11.109999656677246" hidden="0" customWidth="1"/>
    <x:col min="10" max="10" width="12.779999732971191" hidden="0" customWidth="1"/>
    <x:col min="11" max="11" width="11.109999656677246" hidden="0" customWidth="1"/>
    <x:col min="12" max="12" width="12.779999732971191" hidden="0" customWidth="1"/>
    <x:col min="13" max="13" width="13.329999923706055" hidden="0" customWidth="1"/>
    <x:col min="14" max="14" width="12.779999732971191" hidden="0" customWidth="1"/>
    <x:col min="15" max="15" width="11.109999656677246" hidden="0" customWidth="1"/>
    <x:col min="16" max="16" width="12.779999732971191" hidden="0" customWidth="1"/>
    <x:col min="17" max="17" width="13.329999923706055" hidden="0" customWidth="1"/>
    <x:col min="18" max="18" width="12.779999732971191" hidden="0" customWidth="1"/>
    <x:col min="19" max="19" width="11.670000076293945" hidden="0" customWidth="1"/>
    <x:col min="20" max="20" width="30" hidden="0" customWidth="1"/>
    <x:col min="21" max="21" width="30" hidden="0" customWidth="1"/>
    <x:col min="22" max="22" width="28.329999923706055" hidden="0" customWidth="1"/>
  </x:cols>
  <x:sheetData>
    <x:row r="1" ht="44" customHeight="1">
      <x:c r="A1" s="7" t="str">
        <x:v>记录ID</x:v>
      </x:c>
      <x:c r="B1" s="8" t="str">
        <x:v>图片编号</x:v>
      </x:c>
      <x:c r="C1" s="8" t="str">
        <x:v>实验ID</x:v>
      </x:c>
      <x:c r="D1" s="8" t="str">
        <x:v>模型（原表）</x:v>
      </x:c>
      <x:c r="E1" s="8" t="str">
        <x:v>方法</x:v>
      </x:c>
      <x:c r="F1" s="8" t="str">
        <x:v>总体正确数</x:v>
      </x:c>
      <x:c r="G1" s="8" t="str">
        <x:v>总体分母</x:v>
      </x:c>
      <x:c r="H1" s="8" t="str">
        <x:v>正确树判对数</x:v>
      </x:c>
      <x:c r="I1" s="8" t="str">
        <x:v>正确树分母</x:v>
      </x:c>
      <x:c r="J1" s="8" t="str">
        <x:v>错误树排除数</x:v>
      </x:c>
      <x:c r="K1" s="8" t="str">
        <x:v>错误树分母</x:v>
      </x:c>
      <x:c r="L1" s="8" t="str">
        <x:v>原表总体率</x:v>
      </x:c>
      <x:c r="M1" s="8" t="str">
        <x:v>原表正确树率</x:v>
      </x:c>
      <x:c r="N1" s="8" t="str">
        <x:v>原表排除率</x:v>
      </x:c>
      <x:c r="O1" s="8" t="str">
        <x:v>原表BA</x:v>
      </x:c>
      <x:c r="P1" s="8" t="str">
        <x:v>计算总体率</x:v>
      </x:c>
      <x:c r="Q1" s="8" t="str">
        <x:v>计算正确树率</x:v>
      </x:c>
      <x:c r="R1" s="8" t="str">
        <x:v>计算排除率</x:v>
      </x:c>
      <x:c r="S1" s="8" t="str">
        <x:v>计算BA</x:v>
      </x:c>
      <x:c r="T1" s="8" t="str">
        <x:v>计数/计算范围</x:v>
      </x:c>
      <x:c r="U1" s="8" t="str">
        <x:v>失败政策</x:v>
      </x:c>
      <x:c r="V1" s="9" t="str">
        <x:v>来源</x:v>
      </x:c>
    </x:row>
    <x:row r="2" ht="46" customHeight="1">
      <x:c r="A2" s="2" t="str">
        <x:v>F1-Direct</x:v>
      </x:c>
      <x:c r="B2" s="2" t="n">
        <x:v>1</x:v>
      </x:c>
      <x:c r="C2" s="2" t="str">
        <x:v>E01</x:v>
      </x:c>
      <x:c r="D2" s="2" t="str">
        <x:v>未注明</x:v>
      </x:c>
      <x:c r="E2" s="2" t="str">
        <x:v>Direct</x:v>
      </x:c>
      <x:c r="F2" s="13" t="n">
        <x:v>105</x:v>
      </x:c>
      <x:c r="G2" s="13" t="n">
        <x:v>132</x:v>
      </x:c>
      <x:c r="H2" s="13" t="n">
        <x:v>30</x:v>
      </x:c>
      <x:c r="I2" s="13" t="n">
        <x:v>33</x:v>
      </x:c>
      <x:c r="J2" s="13" t="n">
        <x:v>75</x:v>
      </x:c>
      <x:c r="K2" s="13" t="n">
        <x:v>99</x:v>
      </x:c>
      <x:c r="L2" s="17" t="n">
        <x:v>0.7955</x:v>
      </x:c>
      <x:c r="M2" s="17" t="n">
        <x:v>0.9091</x:v>
      </x:c>
      <x:c r="N2" s="17" t="n">
        <x:v>0.7576</x:v>
      </x:c>
      <x:c r="O2" s="17" t="n">
        <x:v>0.8332999999999999</x:v>
      </x:c>
      <x:c r="P2" s="19" t="n">
        <x:f>IF(AND(ISNUMBER(F2),ISNUMBER(G2),G2&gt;0),F2/G2,IF(ISNUMBER(L2),L2,""))</x:f>
        <x:v>0.7954545454545454</x:v>
      </x:c>
      <x:c r="Q2" s="19" t="n">
        <x:f>IF(AND(ISNUMBER(H2),ISNUMBER(I2),I2&gt;0),H2/I2,IF(ISNUMBER(M2),M2,""))</x:f>
        <x:v>0.9090909090909091</x:v>
      </x:c>
      <x:c r="R2" s="19" t="n">
        <x:f>IF(AND(ISNUMBER(J2),ISNUMBER(K2),K2&gt;0),J2/K2,IF(ISNUMBER(N2),N2,""))</x:f>
        <x:v>0.7575757575757576</x:v>
      </x:c>
      <x:c r="S2" s="19" t="n">
        <x:f>IF(AND(ISNUMBER(Q2),ISNUMBER(R2)),(Q2+R2)/2,"")</x:f>
        <x:v>0.8333333333333333</x:v>
      </x:c>
      <x:c r="T2" s="21" t="str">
        <x:v>计数已转录；实验未审核</x:v>
      </x:c>
      <x:c r="U2" s="21" t="str">
        <x:v>未提供失败计分细则</x:v>
      </x:c>
      <x:c r="V2" s="21" t="str">
        <x:v>用户图片 #1，Direct 行</x:v>
      </x:c>
    </x:row>
    <x:row r="3" ht="46" customHeight="1">
      <x:c r="A3" s="10" t="str">
        <x:v>F1-CoT</x:v>
      </x:c>
      <x:c r="B3" s="10" t="n">
        <x:v>1</x:v>
      </x:c>
      <x:c r="C3" s="10" t="str">
        <x:v>E01</x:v>
      </x:c>
      <x:c r="D3" s="10" t="str">
        <x:v>未注明</x:v>
      </x:c>
      <x:c r="E3" s="10" t="str">
        <x:v>CoT</x:v>
      </x:c>
      <x:c r="F3" s="14" t="n">
        <x:v>101</x:v>
      </x:c>
      <x:c r="G3" s="14" t="n">
        <x:v>132</x:v>
      </x:c>
      <x:c r="H3" s="14" t="n">
        <x:v>31</x:v>
      </x:c>
      <x:c r="I3" s="14" t="n">
        <x:v>33</x:v>
      </x:c>
      <x:c r="J3" s="14" t="n">
        <x:v>70</x:v>
      </x:c>
      <x:c r="K3" s="14" t="n">
        <x:v>99</x:v>
      </x:c>
      <x:c r="L3" s="18" t="n">
        <x:v>0.7652</x:v>
      </x:c>
      <x:c r="M3" s="18" t="n">
        <x:v>0.9394</x:v>
      </x:c>
      <x:c r="N3" s="18" t="n">
        <x:v>0.7071</x:v>
      </x:c>
      <x:c r="O3" s="18" t="n">
        <x:v>0.8231999999999999</x:v>
      </x:c>
      <x:c r="P3" s="20" t="n">
        <x:f>IF(AND(ISNUMBER(F3),ISNUMBER(G3),G3&gt;0),F3/G3,IF(ISNUMBER(L3),L3,""))</x:f>
        <x:v>0.7651515151515151</x:v>
      </x:c>
      <x:c r="Q3" s="20" t="n">
        <x:f>IF(AND(ISNUMBER(H3),ISNUMBER(I3),I3&gt;0),H3/I3,IF(ISNUMBER(M3),M3,""))</x:f>
        <x:v>0.9393939393939394</x:v>
      </x:c>
      <x:c r="R3" s="20" t="n">
        <x:f>IF(AND(ISNUMBER(J3),ISNUMBER(K3),K3&gt;0),J3/K3,IF(ISNUMBER(N3),N3,""))</x:f>
        <x:v>0.7070707070707071</x:v>
      </x:c>
      <x:c r="S3" s="20" t="n">
        <x:f>IF(AND(ISNUMBER(Q3),ISNUMBER(R3)),(Q3+R3)/2,"")</x:f>
        <x:v>0.8232323232323233</x:v>
      </x:c>
      <x:c r="T3" s="22" t="str">
        <x:v>计数已转录；实验未审核</x:v>
      </x:c>
      <x:c r="U3" s="22" t="str">
        <x:v>未提供失败计分细则</x:v>
      </x:c>
      <x:c r="V3" s="22" t="str">
        <x:v>用户图片 #1，CoT 行</x:v>
      </x:c>
    </x:row>
    <x:row r="4" ht="46" customHeight="1">
      <x:c r="A4" s="2" t="str">
        <x:v>F1-ICL</x:v>
      </x:c>
      <x:c r="B4" s="2" t="n">
        <x:v>1</x:v>
      </x:c>
      <x:c r="C4" s="2" t="str">
        <x:v>E01</x:v>
      </x:c>
      <x:c r="D4" s="2" t="str">
        <x:v>未注明</x:v>
      </x:c>
      <x:c r="E4" s="2" t="str">
        <x:v>ICL</x:v>
      </x:c>
      <x:c r="F4" s="13" t="n">
        <x:v>107</x:v>
      </x:c>
      <x:c r="G4" s="13" t="n">
        <x:v>132</x:v>
      </x:c>
      <x:c r="H4" s="13" t="n">
        <x:v>30</x:v>
      </x:c>
      <x:c r="I4" s="13" t="n">
        <x:v>33</x:v>
      </x:c>
      <x:c r="J4" s="13" t="n">
        <x:v>77</x:v>
      </x:c>
      <x:c r="K4" s="13" t="n">
        <x:v>99</x:v>
      </x:c>
      <x:c r="L4" s="17" t="n">
        <x:v>0.8106</x:v>
      </x:c>
      <x:c r="M4" s="17" t="n">
        <x:v>0.9091</x:v>
      </x:c>
      <x:c r="N4" s="17" t="n">
        <x:v>0.7778</x:v>
      </x:c>
      <x:c r="O4" s="17" t="n">
        <x:v>0.8434</x:v>
      </x:c>
      <x:c r="P4" s="19" t="n">
        <x:f>IF(AND(ISNUMBER(F4),ISNUMBER(G4),G4&gt;0),F4/G4,IF(ISNUMBER(L4),L4,""))</x:f>
        <x:v>0.8106060606060606</x:v>
      </x:c>
      <x:c r="Q4" s="19" t="n">
        <x:f>IF(AND(ISNUMBER(H4),ISNUMBER(I4),I4&gt;0),H4/I4,IF(ISNUMBER(M4),M4,""))</x:f>
        <x:v>0.9090909090909091</x:v>
      </x:c>
      <x:c r="R4" s="19" t="n">
        <x:f>IF(AND(ISNUMBER(J4),ISNUMBER(K4),K4&gt;0),J4/K4,IF(ISNUMBER(N4),N4,""))</x:f>
        <x:v>0.7777777777777778</x:v>
      </x:c>
      <x:c r="S4" s="19" t="n">
        <x:f>IF(AND(ISNUMBER(Q4),ISNUMBER(R4)),(Q4+R4)/2,"")</x:f>
        <x:v>0.8434343434343434</x:v>
      </x:c>
      <x:c r="T4" s="21" t="str">
        <x:v>计数已转录；实验未审核</x:v>
      </x:c>
      <x:c r="U4" s="21" t="str">
        <x:v>未提供失败计分细则</x:v>
      </x:c>
      <x:c r="V4" s="21" t="str">
        <x:v>用户图片 #1，ICL 行</x:v>
      </x:c>
    </x:row>
    <x:row r="5" ht="46" customHeight="1">
      <x:c r="A5" s="10" t="str">
        <x:v>F1-Ours</x:v>
      </x:c>
      <x:c r="B5" s="10" t="n">
        <x:v>1</x:v>
      </x:c>
      <x:c r="C5" s="10" t="str">
        <x:v>E01</x:v>
      </x:c>
      <x:c r="D5" s="10" t="str">
        <x:v>未注明</x:v>
      </x:c>
      <x:c r="E5" s="10" t="str">
        <x:v>Ours</x:v>
      </x:c>
      <x:c r="F5" s="14" t="n">
        <x:v>110</x:v>
      </x:c>
      <x:c r="G5" s="14" t="n">
        <x:v>132</x:v>
      </x:c>
      <x:c r="H5" s="14" t="n">
        <x:v>31</x:v>
      </x:c>
      <x:c r="I5" s="14" t="n">
        <x:v>33</x:v>
      </x:c>
      <x:c r="J5" s="14" t="n">
        <x:v>79</x:v>
      </x:c>
      <x:c r="K5" s="14" t="n">
        <x:v>99</x:v>
      </x:c>
      <x:c r="L5" s="18" t="n">
        <x:v>0.8333</x:v>
      </x:c>
      <x:c r="M5" s="18" t="n">
        <x:v>0.9394</x:v>
      </x:c>
      <x:c r="N5" s="18" t="n">
        <x:v>0.798</x:v>
      </x:c>
      <x:c r="O5" s="18" t="n">
        <x:v>0.8687</x:v>
      </x:c>
      <x:c r="P5" s="20" t="n">
        <x:f>IF(AND(ISNUMBER(F5),ISNUMBER(G5),G5&gt;0),F5/G5,IF(ISNUMBER(L5),L5,""))</x:f>
        <x:v>0.8333333333333334</x:v>
      </x:c>
      <x:c r="Q5" s="20" t="n">
        <x:f>IF(AND(ISNUMBER(H5),ISNUMBER(I5),I5&gt;0),H5/I5,IF(ISNUMBER(M5),M5,""))</x:f>
        <x:v>0.9393939393939394</x:v>
      </x:c>
      <x:c r="R5" s="20" t="n">
        <x:f>IF(AND(ISNUMBER(J5),ISNUMBER(K5),K5&gt;0),J5/K5,IF(ISNUMBER(N5),N5,""))</x:f>
        <x:v>0.797979797979798</x:v>
      </x:c>
      <x:c r="S5" s="20" t="n">
        <x:f>IF(AND(ISNUMBER(Q5),ISNUMBER(R5)),(Q5+R5)/2,"")</x:f>
        <x:v>0.8686868686868687</x:v>
      </x:c>
      <x:c r="T5" s="22" t="str">
        <x:v>计数已转录；实验未审核</x:v>
      </x:c>
      <x:c r="U5" s="22" t="str">
        <x:v>未提供失败计分细则</x:v>
      </x:c>
      <x:c r="V5" s="22" t="str">
        <x:v>用户图片 #1，Ours 行</x:v>
      </x:c>
    </x:row>
    <x:row r="6" ht="46" customHeight="1">
      <x:c r="A6" s="2" t="str">
        <x:v>F4-Direct</x:v>
      </x:c>
      <x:c r="B6" s="2" t="n">
        <x:v>4</x:v>
      </x:c>
      <x:c r="C6" s="2" t="str">
        <x:v>E02</x:v>
      </x:c>
      <x:c r="D6" s="2" t="str">
        <x:v>未注明</x:v>
      </x:c>
      <x:c r="E6" s="2" t="str">
        <x:v>Direct</x:v>
      </x:c>
      <x:c r="F6" s="13"/>
      <x:c r="G6" s="13"/>
      <x:c r="H6" s="13"/>
      <x:c r="I6" s="13"/>
      <x:c r="J6" s="13"/>
      <x:c r="K6" s="13"/>
      <x:c r="L6" s="17" t="n">
        <x:v>0.75</x:v>
      </x:c>
      <x:c r="M6" s="17" t="n">
        <x:v>1</x:v>
      </x:c>
      <x:c r="N6" s="17" t="n">
        <x:v>0.6667000000000001</x:v>
      </x:c>
      <x:c r="O6" s="17"/>
      <x:c r="P6" s="19" t="n">
        <x:f>IF(AND(ISNUMBER(F6),ISNUMBER(G6),G6&gt;0),F6/G6,IF(ISNUMBER(L6),L6,""))</x:f>
        <x:v>0.75</x:v>
      </x:c>
      <x:c r="Q6" s="19" t="n">
        <x:f>IF(AND(ISNUMBER(H6),ISNUMBER(I6),I6&gt;0),H6/I6,IF(ISNUMBER(M6),M6,""))</x:f>
        <x:v>1</x:v>
      </x:c>
      <x:c r="R6" s="19" t="n">
        <x:f>IF(AND(ISNUMBER(J6),ISNUMBER(K6),K6&gt;0),J6/K6,IF(ISNUMBER(N6),N6,""))</x:f>
        <x:v>0.6667000000000001</x:v>
      </x:c>
      <x:c r="S6" s="19" t="n">
        <x:f>IF(AND(ISNUMBER(Q6),ISNUMBER(R6)),(Q6+R6)/2,"")</x:f>
        <x:v>0.83335</x:v>
      </x:c>
      <x:c r="T6" s="21" t="str">
        <x:v>计数未提供；计算BA为舍入率近似</x:v>
      </x:c>
      <x:c r="U6" s="21" t="str">
        <x:v>2条 Ours 失败；星号/计分未明</x:v>
      </x:c>
      <x:c r="V6" s="21" t="str">
        <x:v>用户图片 #4，Direct 行</x:v>
      </x:c>
    </x:row>
    <x:row r="7" ht="46" customHeight="1">
      <x:c r="A7" s="10" t="str">
        <x:v>F4-CoT</x:v>
      </x:c>
      <x:c r="B7" s="10" t="n">
        <x:v>4</x:v>
      </x:c>
      <x:c r="C7" s="10" t="str">
        <x:v>E02</x:v>
      </x:c>
      <x:c r="D7" s="10" t="str">
        <x:v>未注明</x:v>
      </x:c>
      <x:c r="E7" s="10" t="str">
        <x:v>CoT</x:v>
      </x:c>
      <x:c r="F7" s="14"/>
      <x:c r="G7" s="14"/>
      <x:c r="H7" s="14"/>
      <x:c r="I7" s="14"/>
      <x:c r="J7" s="14"/>
      <x:c r="K7" s="14"/>
      <x:c r="L7" s="18" t="n">
        <x:v>0.7879</x:v>
      </x:c>
      <x:c r="M7" s="18" t="n">
        <x:v>1</x:v>
      </x:c>
      <x:c r="N7" s="18" t="n">
        <x:v>0.7172</x:v>
      </x:c>
      <x:c r="O7" s="18"/>
      <x:c r="P7" s="20" t="n">
        <x:f>IF(AND(ISNUMBER(F7),ISNUMBER(G7),G7&gt;0),F7/G7,IF(ISNUMBER(L7),L7,""))</x:f>
        <x:v>0.7879</x:v>
      </x:c>
      <x:c r="Q7" s="20" t="n">
        <x:f>IF(AND(ISNUMBER(H7),ISNUMBER(I7),I7&gt;0),H7/I7,IF(ISNUMBER(M7),M7,""))</x:f>
        <x:v>1</x:v>
      </x:c>
      <x:c r="R7" s="20" t="n">
        <x:f>IF(AND(ISNUMBER(J7),ISNUMBER(K7),K7&gt;0),J7/K7,IF(ISNUMBER(N7),N7,""))</x:f>
        <x:v>0.7172</x:v>
      </x:c>
      <x:c r="S7" s="20" t="n">
        <x:f>IF(AND(ISNUMBER(Q7),ISNUMBER(R7)),(Q7+R7)/2,"")</x:f>
        <x:v>0.8586</x:v>
      </x:c>
      <x:c r="T7" s="22" t="str">
        <x:v>计数未提供；计算BA为舍入率近似</x:v>
      </x:c>
      <x:c r="U7" s="22" t="str">
        <x:v>2条 Ours 失败；星号/计分未明</x:v>
      </x:c>
      <x:c r="V7" s="22" t="str">
        <x:v>用户图片 #4，CoT 行</x:v>
      </x:c>
    </x:row>
    <x:row r="8" ht="46" customHeight="1">
      <x:c r="A8" s="2" t="str">
        <x:v>F4-ICL</x:v>
      </x:c>
      <x:c r="B8" s="2" t="n">
        <x:v>4</x:v>
      </x:c>
      <x:c r="C8" s="2" t="str">
        <x:v>E02</x:v>
      </x:c>
      <x:c r="D8" s="2" t="str">
        <x:v>未注明</x:v>
      </x:c>
      <x:c r="E8" s="2" t="str">
        <x:v>ICL</x:v>
      </x:c>
      <x:c r="F8" s="13"/>
      <x:c r="G8" s="13"/>
      <x:c r="H8" s="13"/>
      <x:c r="I8" s="13"/>
      <x:c r="J8" s="13"/>
      <x:c r="K8" s="13"/>
      <x:c r="L8" s="17" t="n">
        <x:v>0.7652</x:v>
      </x:c>
      <x:c r="M8" s="17" t="n">
        <x:v>0.9697</x:v>
      </x:c>
      <x:c r="N8" s="17" t="n">
        <x:v>0.6970000000000001</x:v>
      </x:c>
      <x:c r="O8" s="17"/>
      <x:c r="P8" s="19" t="n">
        <x:f>IF(AND(ISNUMBER(F8),ISNUMBER(G8),G8&gt;0),F8/G8,IF(ISNUMBER(L8),L8,""))</x:f>
        <x:v>0.7652</x:v>
      </x:c>
      <x:c r="Q8" s="19" t="n">
        <x:f>IF(AND(ISNUMBER(H8),ISNUMBER(I8),I8&gt;0),H8/I8,IF(ISNUMBER(M8),M8,""))</x:f>
        <x:v>0.9697</x:v>
      </x:c>
      <x:c r="R8" s="19" t="n">
        <x:f>IF(AND(ISNUMBER(J8),ISNUMBER(K8),K8&gt;0),J8/K8,IF(ISNUMBER(N8),N8,""))</x:f>
        <x:v>0.6970000000000001</x:v>
      </x:c>
      <x:c r="S8" s="19" t="n">
        <x:f>IF(AND(ISNUMBER(Q8),ISNUMBER(R8)),(Q8+R8)/2,"")</x:f>
        <x:v>0.83335</x:v>
      </x:c>
      <x:c r="T8" s="21" t="str">
        <x:v>计数未提供；计算BA为舍入率近似</x:v>
      </x:c>
      <x:c r="U8" s="21" t="str">
        <x:v>2条 Ours 失败；星号/计分未明</x:v>
      </x:c>
      <x:c r="V8" s="21" t="str">
        <x:v>用户图片 #4，ICL 行</x:v>
      </x:c>
    </x:row>
    <x:row r="9" ht="46" customHeight="1">
      <x:c r="A9" s="10" t="str">
        <x:v>F4-Ours</x:v>
      </x:c>
      <x:c r="B9" s="10" t="n">
        <x:v>4</x:v>
      </x:c>
      <x:c r="C9" s="10" t="str">
        <x:v>E02</x:v>
      </x:c>
      <x:c r="D9" s="10" t="str">
        <x:v>未注明</x:v>
      </x:c>
      <x:c r="E9" s="10" t="str">
        <x:v>Ours</x:v>
      </x:c>
      <x:c r="F9" s="14"/>
      <x:c r="G9" s="14"/>
      <x:c r="H9" s="14"/>
      <x:c r="I9" s="14"/>
      <x:c r="J9" s="14"/>
      <x:c r="K9" s="14"/>
      <x:c r="L9" s="18" t="n">
        <x:v>0.7197</x:v>
      </x:c>
      <x:c r="M9" s="18" t="n">
        <x:v>0.8181999999999999</x:v>
      </x:c>
      <x:c r="N9" s="18" t="n">
        <x:v>0.6869</x:v>
      </x:c>
      <x:c r="O9" s="18"/>
      <x:c r="P9" s="20" t="n">
        <x:f>IF(AND(ISNUMBER(F9),ISNUMBER(G9),G9&gt;0),F9/G9,IF(ISNUMBER(L9),L9,""))</x:f>
        <x:v>0.7197</x:v>
      </x:c>
      <x:c r="Q9" s="20" t="n">
        <x:f>IF(AND(ISNUMBER(H9),ISNUMBER(I9),I9&gt;0),H9/I9,IF(ISNUMBER(M9),M9,""))</x:f>
        <x:v>0.8181999999999999</x:v>
      </x:c>
      <x:c r="R9" s="20" t="n">
        <x:f>IF(AND(ISNUMBER(J9),ISNUMBER(K9),K9&gt;0),J9/K9,IF(ISNUMBER(N9),N9,""))</x:f>
        <x:v>0.6869</x:v>
      </x:c>
      <x:c r="S9" s="20" t="n">
        <x:f>IF(AND(ISNUMBER(Q9),ISNUMBER(R9)),(Q9+R9)/2,"")</x:f>
        <x:v>0.7525499999999999</x:v>
      </x:c>
      <x:c r="T9" s="22" t="str">
        <x:v>计数未提供；计算BA为舍入率近似</x:v>
      </x:c>
      <x:c r="U9" s="22" t="str">
        <x:v>2条 Ours 失败；星号/计分未明</x:v>
      </x:c>
      <x:c r="V9" s="22" t="str">
        <x:v>用户图片 #4，Ours 行</x:v>
      </x:c>
    </x:row>
    <x:row r="10" ht="46" customHeight="1">
      <x:c r="A10" s="2" t="str">
        <x:v>F5-Direct</x:v>
      </x:c>
      <x:c r="B10" s="2" t="n">
        <x:v>5</x:v>
      </x:c>
      <x:c r="C10" s="2" t="str">
        <x:v>E03</x:v>
      </x:c>
      <x:c r="D10" s="2" t="str">
        <x:v>Qwen3.5-35B-A3B</x:v>
      </x:c>
      <x:c r="E10" s="2" t="str">
        <x:v>Direct</x:v>
      </x:c>
      <x:c r="F10" s="13" t="n">
        <x:v>103</x:v>
      </x:c>
      <x:c r="G10" s="13" t="n">
        <x:v>132</x:v>
      </x:c>
      <x:c r="H10" s="13" t="n">
        <x:v>28</x:v>
      </x:c>
      <x:c r="I10" s="13" t="n">
        <x:v>33</x:v>
      </x:c>
      <x:c r="J10" s="13" t="n">
        <x:v>75</x:v>
      </x:c>
      <x:c r="K10" s="13" t="n">
        <x:v>99</x:v>
      </x:c>
      <x:c r="L10" s="17" t="n">
        <x:v>0.7803</x:v>
      </x:c>
      <x:c r="M10" s="17" t="n">
        <x:v>0.8485</x:v>
      </x:c>
      <x:c r="N10" s="17" t="n">
        <x:v>0.7576</x:v>
      </x:c>
      <x:c r="O10" s="17" t="n">
        <x:v>0.8029999999999999</x:v>
      </x:c>
      <x:c r="P10" s="19" t="n">
        <x:f>IF(AND(ISNUMBER(F10),ISNUMBER(G10),G10&gt;0),F10/G10,IF(ISNUMBER(L10),L10,""))</x:f>
        <x:v>0.7803030303030303</x:v>
      </x:c>
      <x:c r="Q10" s="19" t="n">
        <x:f>IF(AND(ISNUMBER(H10),ISNUMBER(I10),I10&gt;0),H10/I10,IF(ISNUMBER(M10),M10,""))</x:f>
        <x:v>0.8484848484848485</x:v>
      </x:c>
      <x:c r="R10" s="19" t="n">
        <x:f>IF(AND(ISNUMBER(J10),ISNUMBER(K10),K10&gt;0),J10/K10,IF(ISNUMBER(N10),N10,""))</x:f>
        <x:v>0.7575757575757576</x:v>
      </x:c>
      <x:c r="S10" s="19" t="n">
        <x:f>IF(AND(ISNUMBER(Q10),ISNUMBER(R10)),(Q10+R10)/2,"")</x:f>
        <x:v>0.803030303030303</x:v>
      </x:c>
      <x:c r="T10" s="21" t="str">
        <x:v>计数已转录；实验未审核</x:v>
      </x:c>
      <x:c r="U10" s="21" t="str">
        <x:v>未提供失败计分细则</x:v>
      </x:c>
      <x:c r="V10" s="21" t="str">
        <x:v>用户图片 #5，Direct 行</x:v>
      </x:c>
    </x:row>
    <x:row r="11" ht="46" customHeight="1">
      <x:c r="A11" s="10" t="str">
        <x:v>F5-CoT</x:v>
      </x:c>
      <x:c r="B11" s="10" t="n">
        <x:v>5</x:v>
      </x:c>
      <x:c r="C11" s="10" t="str">
        <x:v>E03</x:v>
      </x:c>
      <x:c r="D11" s="10" t="str">
        <x:v>Qwen3.5-35B-A3B</x:v>
      </x:c>
      <x:c r="E11" s="10" t="str">
        <x:v>CoT</x:v>
      </x:c>
      <x:c r="F11" s="14" t="n">
        <x:v>108</x:v>
      </x:c>
      <x:c r="G11" s="14" t="n">
        <x:v>132</x:v>
      </x:c>
      <x:c r="H11" s="14" t="n">
        <x:v>30</x:v>
      </x:c>
      <x:c r="I11" s="14" t="n">
        <x:v>33</x:v>
      </x:c>
      <x:c r="J11" s="14" t="n">
        <x:v>78</x:v>
      </x:c>
      <x:c r="K11" s="14" t="n">
        <x:v>99</x:v>
      </x:c>
      <x:c r="L11" s="18" t="n">
        <x:v>0.8182</x:v>
      </x:c>
      <x:c r="M11" s="18" t="n">
        <x:v>0.9091</x:v>
      </x:c>
      <x:c r="N11" s="18" t="n">
        <x:v>0.7879</x:v>
      </x:c>
      <x:c r="O11" s="18" t="n">
        <x:v>0.8484999999999999</x:v>
      </x:c>
      <x:c r="P11" s="20" t="n">
        <x:f>IF(AND(ISNUMBER(F11),ISNUMBER(G11),G11&gt;0),F11/G11,IF(ISNUMBER(L11),L11,""))</x:f>
        <x:v>0.8181818181818182</x:v>
      </x:c>
      <x:c r="Q11" s="20" t="n">
        <x:f>IF(AND(ISNUMBER(H11),ISNUMBER(I11),I11&gt;0),H11/I11,IF(ISNUMBER(M11),M11,""))</x:f>
        <x:v>0.9090909090909091</x:v>
      </x:c>
      <x:c r="R11" s="20" t="n">
        <x:f>IF(AND(ISNUMBER(J11),ISNUMBER(K11),K11&gt;0),J11/K11,IF(ISNUMBER(N11),N11,""))</x:f>
        <x:v>0.7878787878787878</x:v>
      </x:c>
      <x:c r="S11" s="20" t="n">
        <x:f>IF(AND(ISNUMBER(Q11),ISNUMBER(R11)),(Q11+R11)/2,"")</x:f>
        <x:v>0.8484848484848484</x:v>
      </x:c>
      <x:c r="T11" s="22" t="str">
        <x:v>计数已转录；实验未审核</x:v>
      </x:c>
      <x:c r="U11" s="22" t="str">
        <x:v>未提供失败计分细则</x:v>
      </x:c>
      <x:c r="V11" s="22" t="str">
        <x:v>用户图片 #5，CoT 行</x:v>
      </x:c>
    </x:row>
    <x:row r="12" ht="46" customHeight="1">
      <x:c r="A12" s="2" t="str">
        <x:v>F5-ICL</x:v>
      </x:c>
      <x:c r="B12" s="2" t="n">
        <x:v>5</x:v>
      </x:c>
      <x:c r="C12" s="2" t="str">
        <x:v>E03</x:v>
      </x:c>
      <x:c r="D12" s="2" t="str">
        <x:v>Qwen3.5-35B-A3B</x:v>
      </x:c>
      <x:c r="E12" s="2" t="str">
        <x:v>ICL</x:v>
      </x:c>
      <x:c r="F12" s="13" t="n">
        <x:v>111</x:v>
      </x:c>
      <x:c r="G12" s="13" t="n">
        <x:v>132</x:v>
      </x:c>
      <x:c r="H12" s="13" t="n">
        <x:v>29</x:v>
      </x:c>
      <x:c r="I12" s="13" t="n">
        <x:v>33</x:v>
      </x:c>
      <x:c r="J12" s="13" t="n">
        <x:v>82</x:v>
      </x:c>
      <x:c r="K12" s="13" t="n">
        <x:v>99</x:v>
      </x:c>
      <x:c r="L12" s="17" t="n">
        <x:v>0.8409</x:v>
      </x:c>
      <x:c r="M12" s="17" t="n">
        <x:v>0.8788</x:v>
      </x:c>
      <x:c r="N12" s="17" t="n">
        <x:v>0.8283</x:v>
      </x:c>
      <x:c r="O12" s="17" t="n">
        <x:v>0.8534999999999999</x:v>
      </x:c>
      <x:c r="P12" s="19" t="n">
        <x:f>IF(AND(ISNUMBER(F12),ISNUMBER(G12),G12&gt;0),F12/G12,IF(ISNUMBER(L12),L12,""))</x:f>
        <x:v>0.8409090909090909</x:v>
      </x:c>
      <x:c r="Q12" s="19" t="n">
        <x:f>IF(AND(ISNUMBER(H12),ISNUMBER(I12),I12&gt;0),H12/I12,IF(ISNUMBER(M12),M12,""))</x:f>
        <x:v>0.8787878787878788</x:v>
      </x:c>
      <x:c r="R12" s="19" t="n">
        <x:f>IF(AND(ISNUMBER(J12),ISNUMBER(K12),K12&gt;0),J12/K12,IF(ISNUMBER(N12),N12,""))</x:f>
        <x:v>0.8282828282828283</x:v>
      </x:c>
      <x:c r="S12" s="19" t="n">
        <x:f>IF(AND(ISNUMBER(Q12),ISNUMBER(R12)),(Q12+R12)/2,"")</x:f>
        <x:v>0.8535353535353536</x:v>
      </x:c>
      <x:c r="T12" s="21" t="str">
        <x:v>计数已转录；实验未审核</x:v>
      </x:c>
      <x:c r="U12" s="21" t="str">
        <x:v>未提供失败计分细则</x:v>
      </x:c>
      <x:c r="V12" s="21" t="str">
        <x:v>用户图片 #5，ICL 行</x:v>
      </x:c>
    </x:row>
    <x:row r="13" ht="46" customHeight="1">
      <x:c r="A13" s="10" t="str">
        <x:v>F5-Ours</x:v>
      </x:c>
      <x:c r="B13" s="10" t="n">
        <x:v>5</x:v>
      </x:c>
      <x:c r="C13" s="10" t="str">
        <x:v>E03</x:v>
      </x:c>
      <x:c r="D13" s="10" t="str">
        <x:v>Qwen3.5-35B-A3B</x:v>
      </x:c>
      <x:c r="E13" s="10" t="str">
        <x:v>Ours</x:v>
      </x:c>
      <x:c r="F13" s="14" t="n">
        <x:v>110</x:v>
      </x:c>
      <x:c r="G13" s="14" t="n">
        <x:v>132</x:v>
      </x:c>
      <x:c r="H13" s="14" t="n">
        <x:v>31</x:v>
      </x:c>
      <x:c r="I13" s="14" t="n">
        <x:v>33</x:v>
      </x:c>
      <x:c r="J13" s="14" t="n">
        <x:v>79</x:v>
      </x:c>
      <x:c r="K13" s="14" t="n">
        <x:v>99</x:v>
      </x:c>
      <x:c r="L13" s="18" t="n">
        <x:v>0.8333</x:v>
      </x:c>
      <x:c r="M13" s="18" t="n">
        <x:v>0.9394</x:v>
      </x:c>
      <x:c r="N13" s="18" t="n">
        <x:v>0.798</x:v>
      </x:c>
      <x:c r="O13" s="18" t="n">
        <x:v>0.8687</x:v>
      </x:c>
      <x:c r="P13" s="20" t="n">
        <x:f>IF(AND(ISNUMBER(F13),ISNUMBER(G13),G13&gt;0),F13/G13,IF(ISNUMBER(L13),L13,""))</x:f>
        <x:v>0.8333333333333334</x:v>
      </x:c>
      <x:c r="Q13" s="20" t="n">
        <x:f>IF(AND(ISNUMBER(H13),ISNUMBER(I13),I13&gt;0),H13/I13,IF(ISNUMBER(M13),M13,""))</x:f>
        <x:v>0.9393939393939394</x:v>
      </x:c>
      <x:c r="R13" s="20" t="n">
        <x:f>IF(AND(ISNUMBER(J13),ISNUMBER(K13),K13&gt;0),J13/K13,IF(ISNUMBER(N13),N13,""))</x:f>
        <x:v>0.797979797979798</x:v>
      </x:c>
      <x:c r="S13" s="20" t="n">
        <x:f>IF(AND(ISNUMBER(Q13),ISNUMBER(R13)),(Q13+R13)/2,"")</x:f>
        <x:v>0.8686868686868687</x:v>
      </x:c>
      <x:c r="T13" s="22" t="str">
        <x:v>计数已转录；实验未审核</x:v>
      </x:c>
      <x:c r="U13" s="22" t="str">
        <x:v>未提供失败计分细则</x:v>
      </x:c>
      <x:c r="V13" s="22" t="str">
        <x:v>用户图片 #5，Ours 行</x:v>
      </x:c>
    </x:row>
    <x:row r="14" ht="46" customHeight="1">
      <x:c r="A14" s="2" t="str">
        <x:v>F6-Direct</x:v>
      </x:c>
      <x:c r="B14" s="2" t="n">
        <x:v>6</x:v>
      </x:c>
      <x:c r="C14" s="2" t="str">
        <x:v>E04</x:v>
      </x:c>
      <x:c r="D14" s="2" t="str">
        <x:v>Qwen3.5-35B-A3B</x:v>
      </x:c>
      <x:c r="E14" s="2" t="str">
        <x:v>Direct</x:v>
      </x:c>
      <x:c r="F14" s="13" t="n">
        <x:v>103</x:v>
      </x:c>
      <x:c r="G14" s="13" t="n">
        <x:v>132</x:v>
      </x:c>
      <x:c r="H14" s="13" t="n">
        <x:v>28</x:v>
      </x:c>
      <x:c r="I14" s="13" t="n">
        <x:v>33</x:v>
      </x:c>
      <x:c r="J14" s="13" t="n">
        <x:v>75</x:v>
      </x:c>
      <x:c r="K14" s="13" t="n">
        <x:v>99</x:v>
      </x:c>
      <x:c r="L14" s="17" t="n">
        <x:v>0.7803</x:v>
      </x:c>
      <x:c r="M14" s="17" t="n">
        <x:v>0.8485</x:v>
      </x:c>
      <x:c r="N14" s="17" t="n">
        <x:v>0.7576</x:v>
      </x:c>
      <x:c r="O14" s="17" t="n">
        <x:v>0.8029999999999999</x:v>
      </x:c>
      <x:c r="P14" s="19" t="n">
        <x:f>IF(AND(ISNUMBER(F14),ISNUMBER(G14),G14&gt;0),F14/G14,IF(ISNUMBER(L14),L14,""))</x:f>
        <x:v>0.7803030303030303</x:v>
      </x:c>
      <x:c r="Q14" s="19" t="n">
        <x:f>IF(AND(ISNUMBER(H14),ISNUMBER(I14),I14&gt;0),H14/I14,IF(ISNUMBER(M14),M14,""))</x:f>
        <x:v>0.8484848484848485</x:v>
      </x:c>
      <x:c r="R14" s="19" t="n">
        <x:f>IF(AND(ISNUMBER(J14),ISNUMBER(K14),K14&gt;0),J14/K14,IF(ISNUMBER(N14),N14,""))</x:f>
        <x:v>0.7575757575757576</x:v>
      </x:c>
      <x:c r="S14" s="19" t="n">
        <x:f>IF(AND(ISNUMBER(Q14),ISNUMBER(R14)),(Q14+R14)/2,"")</x:f>
        <x:v>0.803030303030303</x:v>
      </x:c>
      <x:c r="T14" s="21" t="str">
        <x:v>计数已转录；实验未审核</x:v>
      </x:c>
      <x:c r="U14" s="21" t="str">
        <x:v>未提供失败计分细则</x:v>
      </x:c>
      <x:c r="V14" s="21" t="str">
        <x:v>用户图片 #6，Direct 行</x:v>
      </x:c>
    </x:row>
    <x:row r="15" ht="46" customHeight="1">
      <x:c r="A15" s="10" t="str">
        <x:v>F6-CoT</x:v>
      </x:c>
      <x:c r="B15" s="10" t="n">
        <x:v>6</x:v>
      </x:c>
      <x:c r="C15" s="10" t="str">
        <x:v>E04</x:v>
      </x:c>
      <x:c r="D15" s="10" t="str">
        <x:v>Qwen3.5-35B-A3B</x:v>
      </x:c>
      <x:c r="E15" s="10" t="str">
        <x:v>CoT</x:v>
      </x:c>
      <x:c r="F15" s="14" t="n">
        <x:v>108</x:v>
      </x:c>
      <x:c r="G15" s="14" t="n">
        <x:v>132</x:v>
      </x:c>
      <x:c r="H15" s="14" t="n">
        <x:v>30</x:v>
      </x:c>
      <x:c r="I15" s="14" t="n">
        <x:v>33</x:v>
      </x:c>
      <x:c r="J15" s="14" t="n">
        <x:v>78</x:v>
      </x:c>
      <x:c r="K15" s="14" t="n">
        <x:v>99</x:v>
      </x:c>
      <x:c r="L15" s="18" t="n">
        <x:v>0.8182</x:v>
      </x:c>
      <x:c r="M15" s="18" t="n">
        <x:v>0.9091</x:v>
      </x:c>
      <x:c r="N15" s="18" t="n">
        <x:v>0.7879</x:v>
      </x:c>
      <x:c r="O15" s="18" t="n">
        <x:v>0.8484999999999999</x:v>
      </x:c>
      <x:c r="P15" s="20" t="n">
        <x:f>IF(AND(ISNUMBER(F15),ISNUMBER(G15),G15&gt;0),F15/G15,IF(ISNUMBER(L15),L15,""))</x:f>
        <x:v>0.8181818181818182</x:v>
      </x:c>
      <x:c r="Q15" s="20" t="n">
        <x:f>IF(AND(ISNUMBER(H15),ISNUMBER(I15),I15&gt;0),H15/I15,IF(ISNUMBER(M15),M15,""))</x:f>
        <x:v>0.9090909090909091</x:v>
      </x:c>
      <x:c r="R15" s="20" t="n">
        <x:f>IF(AND(ISNUMBER(J15),ISNUMBER(K15),K15&gt;0),J15/K15,IF(ISNUMBER(N15),N15,""))</x:f>
        <x:v>0.7878787878787878</x:v>
      </x:c>
      <x:c r="S15" s="20" t="n">
        <x:f>IF(AND(ISNUMBER(Q15),ISNUMBER(R15)),(Q15+R15)/2,"")</x:f>
        <x:v>0.8484848484848484</x:v>
      </x:c>
      <x:c r="T15" s="22" t="str">
        <x:v>计数已转录；实验未审核</x:v>
      </x:c>
      <x:c r="U15" s="22" t="str">
        <x:v>未提供失败计分细则</x:v>
      </x:c>
      <x:c r="V15" s="22" t="str">
        <x:v>用户图片 #6，CoT 行</x:v>
      </x:c>
    </x:row>
    <x:row r="16" ht="46" customHeight="1">
      <x:c r="A16" s="2" t="str">
        <x:v>F6-ICL</x:v>
      </x:c>
      <x:c r="B16" s="2" t="n">
        <x:v>6</x:v>
      </x:c>
      <x:c r="C16" s="2" t="str">
        <x:v>E04</x:v>
      </x:c>
      <x:c r="D16" s="2" t="str">
        <x:v>Qwen3.5-35B-A3B</x:v>
      </x:c>
      <x:c r="E16" s="2" t="str">
        <x:v>ICL</x:v>
      </x:c>
      <x:c r="F16" s="13" t="n">
        <x:v>111</x:v>
      </x:c>
      <x:c r="G16" s="13" t="n">
        <x:v>132</x:v>
      </x:c>
      <x:c r="H16" s="13" t="n">
        <x:v>29</x:v>
      </x:c>
      <x:c r="I16" s="13" t="n">
        <x:v>33</x:v>
      </x:c>
      <x:c r="J16" s="13" t="n">
        <x:v>82</x:v>
      </x:c>
      <x:c r="K16" s="13" t="n">
        <x:v>99</x:v>
      </x:c>
      <x:c r="L16" s="17" t="n">
        <x:v>0.8409</x:v>
      </x:c>
      <x:c r="M16" s="17" t="n">
        <x:v>0.8788</x:v>
      </x:c>
      <x:c r="N16" s="17" t="n">
        <x:v>0.8283</x:v>
      </x:c>
      <x:c r="O16" s="17" t="n">
        <x:v>0.8534999999999999</x:v>
      </x:c>
      <x:c r="P16" s="19" t="n">
        <x:f>IF(AND(ISNUMBER(F16),ISNUMBER(G16),G16&gt;0),F16/G16,IF(ISNUMBER(L16),L16,""))</x:f>
        <x:v>0.8409090909090909</x:v>
      </x:c>
      <x:c r="Q16" s="19" t="n">
        <x:f>IF(AND(ISNUMBER(H16),ISNUMBER(I16),I16&gt;0),H16/I16,IF(ISNUMBER(M16),M16,""))</x:f>
        <x:v>0.8787878787878788</x:v>
      </x:c>
      <x:c r="R16" s="19" t="n">
        <x:f>IF(AND(ISNUMBER(J16),ISNUMBER(K16),K16&gt;0),J16/K16,IF(ISNUMBER(N16),N16,""))</x:f>
        <x:v>0.8282828282828283</x:v>
      </x:c>
      <x:c r="S16" s="19" t="n">
        <x:f>IF(AND(ISNUMBER(Q16),ISNUMBER(R16)),(Q16+R16)/2,"")</x:f>
        <x:v>0.8535353535353536</x:v>
      </x:c>
      <x:c r="T16" s="21" t="str">
        <x:v>计数已转录；实验未审核</x:v>
      </x:c>
      <x:c r="U16" s="21" t="str">
        <x:v>未提供失败计分细则</x:v>
      </x:c>
      <x:c r="V16" s="21" t="str">
        <x:v>用户图片 #6，ICL 行</x:v>
      </x:c>
    </x:row>
    <x:row r="17" ht="46" customHeight="1">
      <x:c r="A17" s="10" t="str">
        <x:v>F6-Ours</x:v>
      </x:c>
      <x:c r="B17" s="10" t="n">
        <x:v>6</x:v>
      </x:c>
      <x:c r="C17" s="10" t="str">
        <x:v>E04</x:v>
      </x:c>
      <x:c r="D17" s="10" t="str">
        <x:v>Qwen3.5-35B-A3B</x:v>
      </x:c>
      <x:c r="E17" s="10" t="str">
        <x:v>Ours</x:v>
      </x:c>
      <x:c r="F17" s="14" t="n">
        <x:v>117</x:v>
      </x:c>
      <x:c r="G17" s="14" t="n">
        <x:v>132</x:v>
      </x:c>
      <x:c r="H17" s="14" t="n">
        <x:v>32</x:v>
      </x:c>
      <x:c r="I17" s="14" t="n">
        <x:v>33</x:v>
      </x:c>
      <x:c r="J17" s="14" t="n">
        <x:v>85</x:v>
      </x:c>
      <x:c r="K17" s="14" t="n">
        <x:v>99</x:v>
      </x:c>
      <x:c r="L17" s="18" t="n">
        <x:v>0.8864</x:v>
      </x:c>
      <x:c r="M17" s="18" t="n">
        <x:v>0.9697</x:v>
      </x:c>
      <x:c r="N17" s="18" t="n">
        <x:v>0.8586</x:v>
      </x:c>
      <x:c r="O17" s="18" t="n">
        <x:v>0.9140999999999999</x:v>
      </x:c>
      <x:c r="P17" s="20" t="n">
        <x:f>IF(AND(ISNUMBER(F17),ISNUMBER(G17),G17&gt;0),F17/G17,IF(ISNUMBER(L17),L17,""))</x:f>
        <x:v>0.8863636363636364</x:v>
      </x:c>
      <x:c r="Q17" s="20" t="n">
        <x:f>IF(AND(ISNUMBER(H17),ISNUMBER(I17),I17&gt;0),H17/I17,IF(ISNUMBER(M17),M17,""))</x:f>
        <x:v>0.9696969696969697</x:v>
      </x:c>
      <x:c r="R17" s="20" t="n">
        <x:f>IF(AND(ISNUMBER(J17),ISNUMBER(K17),K17&gt;0),J17/K17,IF(ISNUMBER(N17),N17,""))</x:f>
        <x:v>0.8585858585858586</x:v>
      </x:c>
      <x:c r="S17" s="20" t="n">
        <x:f>IF(AND(ISNUMBER(Q17),ISNUMBER(R17)),(Q17+R17)/2,"")</x:f>
        <x:v>0.9141414141414141</x:v>
      </x:c>
      <x:c r="T17" s="22" t="str">
        <x:v>计数已转录；实验未审核</x:v>
      </x:c>
      <x:c r="U17" s="22" t="str">
        <x:v>未提供失败计分细则</x:v>
      </x:c>
      <x:c r="V17" s="22" t="str">
        <x:v>用户图片 #6，Ours 行</x:v>
      </x:c>
    </x:row>
    <x:row r="18" ht="46" customHeight="1">
      <x:c r="A18" s="2" t="str">
        <x:v>F7-Direct</x:v>
      </x:c>
      <x:c r="B18" s="2" t="n">
        <x:v>7</x:v>
      </x:c>
      <x:c r="C18" s="2" t="str">
        <x:v>E04</x:v>
      </x:c>
      <x:c r="D18" s="2" t="str">
        <x:v>Qwen3.5-35B-A3B</x:v>
      </x:c>
      <x:c r="E18" s="2" t="str">
        <x:v>Direct</x:v>
      </x:c>
      <x:c r="F18" s="13" t="n">
        <x:v>103</x:v>
      </x:c>
      <x:c r="G18" s="13" t="n">
        <x:v>132</x:v>
      </x:c>
      <x:c r="H18" s="13" t="n">
        <x:v>28</x:v>
      </x:c>
      <x:c r="I18" s="13" t="n">
        <x:v>33</x:v>
      </x:c>
      <x:c r="J18" s="13" t="n">
        <x:v>75</x:v>
      </x:c>
      <x:c r="K18" s="13" t="n">
        <x:v>99</x:v>
      </x:c>
      <x:c r="L18" s="17" t="n">
        <x:v>0.7803</x:v>
      </x:c>
      <x:c r="M18" s="17" t="n">
        <x:v>0.8485</x:v>
      </x:c>
      <x:c r="N18" s="17" t="n">
        <x:v>0.7576</x:v>
      </x:c>
      <x:c r="O18" s="17" t="n">
        <x:v>0.8029999999999999</x:v>
      </x:c>
      <x:c r="P18" s="19" t="n">
        <x:f>IF(AND(ISNUMBER(F18),ISNUMBER(G18),G18&gt;0),F18/G18,IF(ISNUMBER(L18),L18,""))</x:f>
        <x:v>0.7803030303030303</x:v>
      </x:c>
      <x:c r="Q18" s="19" t="n">
        <x:f>IF(AND(ISNUMBER(H18),ISNUMBER(I18),I18&gt;0),H18/I18,IF(ISNUMBER(M18),M18,""))</x:f>
        <x:v>0.8484848484848485</x:v>
      </x:c>
      <x:c r="R18" s="19" t="n">
        <x:f>IF(AND(ISNUMBER(J18),ISNUMBER(K18),K18&gt;0),J18/K18,IF(ISNUMBER(N18),N18,""))</x:f>
        <x:v>0.7575757575757576</x:v>
      </x:c>
      <x:c r="S18" s="19" t="n">
        <x:f>IF(AND(ISNUMBER(Q18),ISNUMBER(R18)),(Q18+R18)/2,"")</x:f>
        <x:v>0.803030303030303</x:v>
      </x:c>
      <x:c r="T18" s="21" t="str">
        <x:v>计数已转录；实验未审核</x:v>
      </x:c>
      <x:c r="U18" s="21" t="str">
        <x:v>未提供失败计分细则</x:v>
      </x:c>
      <x:c r="V18" s="21" t="str">
        <x:v>用户图片 #7，Direct 行</x:v>
      </x:c>
    </x:row>
    <x:row r="19" ht="46" customHeight="1">
      <x:c r="A19" s="10" t="str">
        <x:v>F7-CoT</x:v>
      </x:c>
      <x:c r="B19" s="10" t="n">
        <x:v>7</x:v>
      </x:c>
      <x:c r="C19" s="10" t="str">
        <x:v>E04</x:v>
      </x:c>
      <x:c r="D19" s="10" t="str">
        <x:v>Qwen3.5-35B-A3B</x:v>
      </x:c>
      <x:c r="E19" s="10" t="str">
        <x:v>CoT</x:v>
      </x:c>
      <x:c r="F19" s="14" t="n">
        <x:v>108</x:v>
      </x:c>
      <x:c r="G19" s="14" t="n">
        <x:v>132</x:v>
      </x:c>
      <x:c r="H19" s="14" t="n">
        <x:v>30</x:v>
      </x:c>
      <x:c r="I19" s="14" t="n">
        <x:v>33</x:v>
      </x:c>
      <x:c r="J19" s="14" t="n">
        <x:v>78</x:v>
      </x:c>
      <x:c r="K19" s="14" t="n">
        <x:v>99</x:v>
      </x:c>
      <x:c r="L19" s="18" t="n">
        <x:v>0.8182</x:v>
      </x:c>
      <x:c r="M19" s="18" t="n">
        <x:v>0.9091</x:v>
      </x:c>
      <x:c r="N19" s="18" t="n">
        <x:v>0.7879</x:v>
      </x:c>
      <x:c r="O19" s="18" t="n">
        <x:v>0.8484999999999999</x:v>
      </x:c>
      <x:c r="P19" s="20" t="n">
        <x:f>IF(AND(ISNUMBER(F19),ISNUMBER(G19),G19&gt;0),F19/G19,IF(ISNUMBER(L19),L19,""))</x:f>
        <x:v>0.8181818181818182</x:v>
      </x:c>
      <x:c r="Q19" s="20" t="n">
        <x:f>IF(AND(ISNUMBER(H19),ISNUMBER(I19),I19&gt;0),H19/I19,IF(ISNUMBER(M19),M19,""))</x:f>
        <x:v>0.9090909090909091</x:v>
      </x:c>
      <x:c r="R19" s="20" t="n">
        <x:f>IF(AND(ISNUMBER(J19),ISNUMBER(K19),K19&gt;0),J19/K19,IF(ISNUMBER(N19),N19,""))</x:f>
        <x:v>0.7878787878787878</x:v>
      </x:c>
      <x:c r="S19" s="20" t="n">
        <x:f>IF(AND(ISNUMBER(Q19),ISNUMBER(R19)),(Q19+R19)/2,"")</x:f>
        <x:v>0.8484848484848484</x:v>
      </x:c>
      <x:c r="T19" s="22" t="str">
        <x:v>计数已转录；实验未审核</x:v>
      </x:c>
      <x:c r="U19" s="22" t="str">
        <x:v>未提供失败计分细则</x:v>
      </x:c>
      <x:c r="V19" s="22" t="str">
        <x:v>用户图片 #7，CoT 行</x:v>
      </x:c>
    </x:row>
    <x:row r="20" ht="46" customHeight="1">
      <x:c r="A20" s="2" t="str">
        <x:v>F7-ICL</x:v>
      </x:c>
      <x:c r="B20" s="2" t="n">
        <x:v>7</x:v>
      </x:c>
      <x:c r="C20" s="2" t="str">
        <x:v>E04</x:v>
      </x:c>
      <x:c r="D20" s="2" t="str">
        <x:v>Qwen3.5-35B-A3B</x:v>
      </x:c>
      <x:c r="E20" s="2" t="str">
        <x:v>ICL</x:v>
      </x:c>
      <x:c r="F20" s="13" t="n">
        <x:v>111</x:v>
      </x:c>
      <x:c r="G20" s="13" t="n">
        <x:v>132</x:v>
      </x:c>
      <x:c r="H20" s="13" t="n">
        <x:v>29</x:v>
      </x:c>
      <x:c r="I20" s="13" t="n">
        <x:v>33</x:v>
      </x:c>
      <x:c r="J20" s="13" t="n">
        <x:v>82</x:v>
      </x:c>
      <x:c r="K20" s="13" t="n">
        <x:v>99</x:v>
      </x:c>
      <x:c r="L20" s="17" t="n">
        <x:v>0.8409</x:v>
      </x:c>
      <x:c r="M20" s="17" t="n">
        <x:v>0.8788</x:v>
      </x:c>
      <x:c r="N20" s="17" t="n">
        <x:v>0.8283</x:v>
      </x:c>
      <x:c r="O20" s="17" t="n">
        <x:v>0.8534999999999999</x:v>
      </x:c>
      <x:c r="P20" s="19" t="n">
        <x:f>IF(AND(ISNUMBER(F20),ISNUMBER(G20),G20&gt;0),F20/G20,IF(ISNUMBER(L20),L20,""))</x:f>
        <x:v>0.8409090909090909</x:v>
      </x:c>
      <x:c r="Q20" s="19" t="n">
        <x:f>IF(AND(ISNUMBER(H20),ISNUMBER(I20),I20&gt;0),H20/I20,IF(ISNUMBER(M20),M20,""))</x:f>
        <x:v>0.8787878787878788</x:v>
      </x:c>
      <x:c r="R20" s="19" t="n">
        <x:f>IF(AND(ISNUMBER(J20),ISNUMBER(K20),K20&gt;0),J20/K20,IF(ISNUMBER(N20),N20,""))</x:f>
        <x:v>0.8282828282828283</x:v>
      </x:c>
      <x:c r="S20" s="19" t="n">
        <x:f>IF(AND(ISNUMBER(Q20),ISNUMBER(R20)),(Q20+R20)/2,"")</x:f>
        <x:v>0.8535353535353536</x:v>
      </x:c>
      <x:c r="T20" s="21" t="str">
        <x:v>计数已转录；实验未审核</x:v>
      </x:c>
      <x:c r="U20" s="21" t="str">
        <x:v>未提供失败计分细则</x:v>
      </x:c>
      <x:c r="V20" s="21" t="str">
        <x:v>用户图片 #7，ICL 行</x:v>
      </x:c>
    </x:row>
    <x:row r="21" ht="46" customHeight="1">
      <x:c r="A21" s="10" t="str">
        <x:v>F7-Ours</x:v>
      </x:c>
      <x:c r="B21" s="10" t="n">
        <x:v>7</x:v>
      </x:c>
      <x:c r="C21" s="10" t="str">
        <x:v>E04</x:v>
      </x:c>
      <x:c r="D21" s="10" t="str">
        <x:v>Qwen3.5-35B-A3B</x:v>
      </x:c>
      <x:c r="E21" s="10" t="str">
        <x:v>Ours</x:v>
      </x:c>
      <x:c r="F21" s="14" t="n">
        <x:v>117</x:v>
      </x:c>
      <x:c r="G21" s="14" t="n">
        <x:v>132</x:v>
      </x:c>
      <x:c r="H21" s="14" t="n">
        <x:v>32</x:v>
      </x:c>
      <x:c r="I21" s="14" t="n">
        <x:v>33</x:v>
      </x:c>
      <x:c r="J21" s="14" t="n">
        <x:v>85</x:v>
      </x:c>
      <x:c r="K21" s="14" t="n">
        <x:v>99</x:v>
      </x:c>
      <x:c r="L21" s="18" t="n">
        <x:v>0.8864</x:v>
      </x:c>
      <x:c r="M21" s="18" t="n">
        <x:v>0.9697</x:v>
      </x:c>
      <x:c r="N21" s="18" t="n">
        <x:v>0.8586</x:v>
      </x:c>
      <x:c r="O21" s="18" t="n">
        <x:v>0.9140999999999999</x:v>
      </x:c>
      <x:c r="P21" s="20" t="n">
        <x:f>IF(AND(ISNUMBER(F21),ISNUMBER(G21),G21&gt;0),F21/G21,IF(ISNUMBER(L21),L21,""))</x:f>
        <x:v>0.8863636363636364</x:v>
      </x:c>
      <x:c r="Q21" s="20" t="n">
        <x:f>IF(AND(ISNUMBER(H21),ISNUMBER(I21),I21&gt;0),H21/I21,IF(ISNUMBER(M21),M21,""))</x:f>
        <x:v>0.9696969696969697</x:v>
      </x:c>
      <x:c r="R21" s="20" t="n">
        <x:f>IF(AND(ISNUMBER(J21),ISNUMBER(K21),K21&gt;0),J21/K21,IF(ISNUMBER(N21),N21,""))</x:f>
        <x:v>0.8585858585858586</x:v>
      </x:c>
      <x:c r="S21" s="20" t="n">
        <x:f>IF(AND(ISNUMBER(Q21),ISNUMBER(R21)),(Q21+R21)/2,"")</x:f>
        <x:v>0.9141414141414141</x:v>
      </x:c>
      <x:c r="T21" s="22" t="str">
        <x:v>计数已转录；实验未审核</x:v>
      </x:c>
      <x:c r="U21" s="22" t="str">
        <x:v>未提供失败计分细则</x:v>
      </x:c>
      <x:c r="V21" s="22" t="str">
        <x:v>用户图片 #7，Ours 行</x:v>
      </x:c>
    </x:row>
  </x:sheetData>
  <x:pageMargins left="0.7" right="0.7" top="0.75" bottom="0.75" header="0.3" footer="0.3"/>
  <x:tableParts count="1">
    <x:tablePart xmlns:r="http://schemas.openxmlformats.org/officeDocument/2006/relationships" r:id="Rff2a313107e04f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219999313354492" hidden="0" customWidth="1"/>
    <x:col min="2" max="2" width="8.329999923706055" hidden="0" customWidth="1"/>
    <x:col min="3" max="3" width="9.4399995803833" hidden="0" customWidth="1"/>
    <x:col min="4" max="4" width="22.219999313354492" hidden="0" customWidth="1"/>
    <x:col min="5" max="5" width="10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2.220000267028809" hidden="0" customWidth="1"/>
    <x:col min="10" max="10" width="13.329999923706055" hidden="0" customWidth="1"/>
    <x:col min="11" max="11" width="15" hidden="0" customWidth="1"/>
    <x:col min="12" max="12" width="31.670000076293945" hidden="0" customWidth="1"/>
    <x:col min="13" max="13" width="28.329999923706055" hidden="0" customWidth="1"/>
  </x:cols>
  <x:sheetData>
    <x:row r="1" ht="44" customHeight="1">
      <x:c r="A1" s="7" t="str">
        <x:v>记录ID</x:v>
      </x:c>
      <x:c r="B1" s="8" t="str">
        <x:v>图片编号</x:v>
      </x:c>
      <x:c r="C1" s="8" t="str">
        <x:v>实验ID</x:v>
      </x:c>
      <x:c r="D1" s="8" t="str">
        <x:v>模型（原表）</x:v>
      </x:c>
      <x:c r="E1" s="8" t="str">
        <x:v>方法</x:v>
      </x:c>
      <x:c r="F1" s="8" t="str">
        <x:v>临床专业性</x:v>
      </x:c>
      <x:c r="G1" s="8" t="str">
        <x:v>伦理安全性</x:v>
      </x:c>
      <x:c r="H1" s="8" t="str">
        <x:v>评估准确性</x:v>
      </x:c>
      <x:c r="I1" s="8" t="str">
        <x:v>综合能力</x:v>
      </x:c>
      <x:c r="J1" s="8" t="str">
        <x:v>问诊完整性</x:v>
      </x:c>
      <x:c r="K1" s="8" t="str">
        <x:v>LLM综合评分</x:v>
      </x:c>
      <x:c r="L1" s="8" t="str">
        <x:v>评分版本</x:v>
      </x:c>
      <x:c r="M1" s="9" t="str">
        <x:v>来源</x:v>
      </x:c>
    </x:row>
    <x:row r="2" ht="27" customHeight="1">
      <x:c r="A2" s="2" t="str">
        <x:v>F1-Direct</x:v>
      </x:c>
      <x:c r="B2" s="2" t="n">
        <x:v>1</x:v>
      </x:c>
      <x:c r="C2" s="2" t="str">
        <x:v>E01</x:v>
      </x:c>
      <x:c r="D2" s="2" t="str">
        <x:v>未注明</x:v>
      </x:c>
      <x:c r="E2" s="2" t="str">
        <x:v>Direct</x:v>
      </x:c>
      <x:c r="F2" s="25" t="n">
        <x:v>3.633</x:v>
      </x:c>
      <x:c r="G2" s="25" t="n">
        <x:v>4.148</x:v>
      </x:c>
      <x:c r="H2" s="25" t="n">
        <x:v>3.117</x:v>
      </x:c>
      <x:c r="I2" s="25" t="n">
        <x:v>3.195</x:v>
      </x:c>
      <x:c r="J2" s="25" t="n">
        <x:v>3.492</x:v>
      </x:c>
      <x:c r="K2" s="25" t="n">
        <x:v>3.517</x:v>
      </x:c>
      <x:c r="L2" s="2" t="str">
        <x:v>原表评分</x:v>
      </x:c>
      <x:c r="M2" s="2" t="str">
        <x:v>用户图片 #1，Direct 行</x:v>
      </x:c>
    </x:row>
    <x:row r="3" ht="27" customHeight="1">
      <x:c r="A3" s="10" t="str">
        <x:v>F1-CoT</x:v>
      </x:c>
      <x:c r="B3" s="10" t="n">
        <x:v>1</x:v>
      </x:c>
      <x:c r="C3" s="10" t="str">
        <x:v>E01</x:v>
      </x:c>
      <x:c r="D3" s="10" t="str">
        <x:v>未注明</x:v>
      </x:c>
      <x:c r="E3" s="10" t="str">
        <x:v>CoT</x:v>
      </x:c>
      <x:c r="F3" s="26" t="n">
        <x:v>3.732</x:v>
      </x:c>
      <x:c r="G3" s="26" t="n">
        <x:v>4.324</x:v>
      </x:c>
      <x:c r="H3" s="26" t="n">
        <x:v>3.239</x:v>
      </x:c>
      <x:c r="I3" s="26" t="n">
        <x:v>3.394</x:v>
      </x:c>
      <x:c r="J3" s="26" t="n">
        <x:v>3.507</x:v>
      </x:c>
      <x:c r="K3" s="26" t="n">
        <x:v>3.639</x:v>
      </x:c>
      <x:c r="L3" s="10" t="str">
        <x:v>原表评分</x:v>
      </x:c>
      <x:c r="M3" s="10" t="str">
        <x:v>用户图片 #1，CoT 行</x:v>
      </x:c>
    </x:row>
    <x:row r="4" ht="27" customHeight="1">
      <x:c r="A4" s="2" t="str">
        <x:v>F1-ICL</x:v>
      </x:c>
      <x:c r="B4" s="2" t="n">
        <x:v>1</x:v>
      </x:c>
      <x:c r="C4" s="2" t="str">
        <x:v>E01</x:v>
      </x:c>
      <x:c r="D4" s="2" t="str">
        <x:v>未注明</x:v>
      </x:c>
      <x:c r="E4" s="2" t="str">
        <x:v>ICL</x:v>
      </x:c>
      <x:c r="F4" s="25" t="n">
        <x:v>3.523</x:v>
      </x:c>
      <x:c r="G4" s="25" t="n">
        <x:v>4.086</x:v>
      </x:c>
      <x:c r="H4" s="25" t="n">
        <x:v>3.047</x:v>
      </x:c>
      <x:c r="I4" s="25" t="n">
        <x:v>3.063</x:v>
      </x:c>
      <x:c r="J4" s="25" t="n">
        <x:v>3.258</x:v>
      </x:c>
      <x:c r="K4" s="25" t="n">
        <x:v>3.395</x:v>
      </x:c>
      <x:c r="L4" s="2" t="str">
        <x:v>原表评分</x:v>
      </x:c>
      <x:c r="M4" s="2" t="str">
        <x:v>用户图片 #1，ICL 行</x:v>
      </x:c>
    </x:row>
    <x:row r="5" ht="27" customHeight="1">
      <x:c r="A5" s="10" t="str">
        <x:v>F1-Ours</x:v>
      </x:c>
      <x:c r="B5" s="10" t="n">
        <x:v>1</x:v>
      </x:c>
      <x:c r="C5" s="10" t="str">
        <x:v>E01</x:v>
      </x:c>
      <x:c r="D5" s="10" t="str">
        <x:v>未注明</x:v>
      </x:c>
      <x:c r="E5" s="10" t="str">
        <x:v>Ours</x:v>
      </x:c>
      <x:c r="F5" s="26" t="n">
        <x:v>3.946</x:v>
      </x:c>
      <x:c r="G5" s="26" t="n">
        <x:v>4.375</x:v>
      </x:c>
      <x:c r="H5" s="26" t="n">
        <x:v>3.357</x:v>
      </x:c>
      <x:c r="I5" s="26" t="n">
        <x:v>3.482</x:v>
      </x:c>
      <x:c r="J5" s="26" t="n">
        <x:v>3.625</x:v>
      </x:c>
      <x:c r="K5" s="26" t="n">
        <x:v>3.757</x:v>
      </x:c>
      <x:c r="L5" s="10" t="str">
        <x:v>原表评分</x:v>
      </x:c>
      <x:c r="M5" s="10" t="str">
        <x:v>用户图片 #1，Ours 行</x:v>
      </x:c>
    </x:row>
    <x:row r="6" ht="27" customHeight="1">
      <x:c r="A6" s="2" t="str">
        <x:v>F4-Direct</x:v>
      </x:c>
      <x:c r="B6" s="2" t="n">
        <x:v>4</x:v>
      </x:c>
      <x:c r="C6" s="2" t="str">
        <x:v>E02</x:v>
      </x:c>
      <x:c r="D6" s="2" t="str">
        <x:v>未注明</x:v>
      </x:c>
      <x:c r="E6" s="2" t="str">
        <x:v>Direct</x:v>
      </x:c>
      <x:c r="F6" s="25"/>
      <x:c r="G6" s="25"/>
      <x:c r="H6" s="25"/>
      <x:c r="I6" s="25"/>
      <x:c r="J6" s="25"/>
      <x:c r="K6" s="25" t="n">
        <x:v>3.423</x:v>
      </x:c>
      <x:c r="L6" s="2" t="str">
        <x:v>原表评分</x:v>
      </x:c>
      <x:c r="M6" s="2" t="str">
        <x:v>用户图片 #4，Direct 行</x:v>
      </x:c>
    </x:row>
    <x:row r="7" ht="27" customHeight="1">
      <x:c r="A7" s="10" t="str">
        <x:v>F4-CoT</x:v>
      </x:c>
      <x:c r="B7" s="10" t="n">
        <x:v>4</x:v>
      </x:c>
      <x:c r="C7" s="10" t="str">
        <x:v>E02</x:v>
      </x:c>
      <x:c r="D7" s="10" t="str">
        <x:v>未注明</x:v>
      </x:c>
      <x:c r="E7" s="10" t="str">
        <x:v>CoT</x:v>
      </x:c>
      <x:c r="F7" s="26"/>
      <x:c r="G7" s="26"/>
      <x:c r="H7" s="26"/>
      <x:c r="I7" s="26"/>
      <x:c r="J7" s="26"/>
      <x:c r="K7" s="26" t="n">
        <x:v>3.4</x:v>
      </x:c>
      <x:c r="L7" s="10" t="str">
        <x:v>原表评分</x:v>
      </x:c>
      <x:c r="M7" s="10" t="str">
        <x:v>用户图片 #4，CoT 行</x:v>
      </x:c>
    </x:row>
    <x:row r="8" ht="27" customHeight="1">
      <x:c r="A8" s="2" t="str">
        <x:v>F4-ICL</x:v>
      </x:c>
      <x:c r="B8" s="2" t="n">
        <x:v>4</x:v>
      </x:c>
      <x:c r="C8" s="2" t="str">
        <x:v>E02</x:v>
      </x:c>
      <x:c r="D8" s="2" t="str">
        <x:v>未注明</x:v>
      </x:c>
      <x:c r="E8" s="2" t="str">
        <x:v>ICL</x:v>
      </x:c>
      <x:c r="F8" s="25"/>
      <x:c r="G8" s="25"/>
      <x:c r="H8" s="25"/>
      <x:c r="I8" s="25"/>
      <x:c r="J8" s="25"/>
      <x:c r="K8" s="25" t="n">
        <x:v>2.878</x:v>
      </x:c>
      <x:c r="L8" s="2" t="str">
        <x:v>原表评分</x:v>
      </x:c>
      <x:c r="M8" s="2" t="str">
        <x:v>用户图片 #4，ICL 行</x:v>
      </x:c>
    </x:row>
    <x:row r="9" ht="27" customHeight="1">
      <x:c r="A9" s="10" t="str">
        <x:v>F4-Ours</x:v>
      </x:c>
      <x:c r="B9" s="10" t="n">
        <x:v>4</x:v>
      </x:c>
      <x:c r="C9" s="10" t="str">
        <x:v>E02</x:v>
      </x:c>
      <x:c r="D9" s="10" t="str">
        <x:v>未注明</x:v>
      </x:c>
      <x:c r="E9" s="10" t="str">
        <x:v>Ours</x:v>
      </x:c>
      <x:c r="F9" s="26"/>
      <x:c r="G9" s="26"/>
      <x:c r="H9" s="26"/>
      <x:c r="I9" s="26"/>
      <x:c r="J9" s="26"/>
      <x:c r="K9" s="26" t="n">
        <x:v>3.723</x:v>
      </x:c>
      <x:c r="L9" s="10" t="str">
        <x:v>原表评分</x:v>
      </x:c>
      <x:c r="M9" s="10" t="str">
        <x:v>用户图片 #4，Ours 行</x:v>
      </x:c>
    </x:row>
    <x:row r="10" ht="27" customHeight="1">
      <x:c r="A10" s="2" t="str">
        <x:v>F5-Direct</x:v>
      </x:c>
      <x:c r="B10" s="2" t="n">
        <x:v>5</x:v>
      </x:c>
      <x:c r="C10" s="2" t="str">
        <x:v>E03</x:v>
      </x:c>
      <x:c r="D10" s="2" t="str">
        <x:v>Qwen3.5-35B-A3B</x:v>
      </x:c>
      <x:c r="E10" s="2" t="str">
        <x:v>Direct</x:v>
      </x:c>
      <x:c r="F10" s="25" t="n">
        <x:v>3.849</x:v>
      </x:c>
      <x:c r="G10" s="25" t="n">
        <x:v>4.183</x:v>
      </x:c>
      <x:c r="H10" s="25" t="n">
        <x:v>3.194</x:v>
      </x:c>
      <x:c r="I10" s="25" t="n">
        <x:v>3.226</x:v>
      </x:c>
      <x:c r="J10" s="25" t="n">
        <x:v>3.527</x:v>
      </x:c>
      <x:c r="K10" s="25" t="n">
        <x:v>3.596</x:v>
      </x:c>
      <x:c r="L10" s="2" t="str">
        <x:v>原表评分</x:v>
      </x:c>
      <x:c r="M10" s="2" t="str">
        <x:v>用户图片 #5，Direct 行</x:v>
      </x:c>
    </x:row>
    <x:row r="11" ht="27" customHeight="1">
      <x:c r="A11" s="10" t="str">
        <x:v>F5-CoT</x:v>
      </x:c>
      <x:c r="B11" s="10" t="n">
        <x:v>5</x:v>
      </x:c>
      <x:c r="C11" s="10" t="str">
        <x:v>E03</x:v>
      </x:c>
      <x:c r="D11" s="10" t="str">
        <x:v>Qwen3.5-35B-A3B</x:v>
      </x:c>
      <x:c r="E11" s="10" t="str">
        <x:v>CoT</x:v>
      </x:c>
      <x:c r="F11" s="26" t="n">
        <x:v>4</x:v>
      </x:c>
      <x:c r="G11" s="26" t="n">
        <x:v>4.286</x:v>
      </x:c>
      <x:c r="H11" s="26" t="n">
        <x:v>3.333</x:v>
      </x:c>
      <x:c r="I11" s="26" t="n">
        <x:v>3.476</x:v>
      </x:c>
      <x:c r="J11" s="26" t="n">
        <x:v>3.81</x:v>
      </x:c>
      <x:c r="K11" s="26" t="n">
        <x:v>3.781</x:v>
      </x:c>
      <x:c r="L11" s="10" t="str">
        <x:v>原表评分</x:v>
      </x:c>
      <x:c r="M11" s="10" t="str">
        <x:v>用户图片 #5，CoT 行</x:v>
      </x:c>
    </x:row>
    <x:row r="12" ht="27" customHeight="1">
      <x:c r="A12" s="2" t="str">
        <x:v>F5-ICL</x:v>
      </x:c>
      <x:c r="B12" s="2" t="n">
        <x:v>5</x:v>
      </x:c>
      <x:c r="C12" s="2" t="str">
        <x:v>E03</x:v>
      </x:c>
      <x:c r="D12" s="2" t="str">
        <x:v>Qwen3.5-35B-A3B</x:v>
      </x:c>
      <x:c r="E12" s="2" t="str">
        <x:v>ICL</x:v>
      </x:c>
      <x:c r="F12" s="25" t="n">
        <x:v>3.904</x:v>
      </x:c>
      <x:c r="G12" s="25" t="n">
        <x:v>4.181</x:v>
      </x:c>
      <x:c r="H12" s="25" t="n">
        <x:v>3.191</x:v>
      </x:c>
      <x:c r="I12" s="25" t="n">
        <x:v>3.234</x:v>
      </x:c>
      <x:c r="J12" s="25" t="n">
        <x:v>3.468</x:v>
      </x:c>
      <x:c r="K12" s="25" t="n">
        <x:v>3.596</x:v>
      </x:c>
      <x:c r="L12" s="2" t="str">
        <x:v>原表评分</x:v>
      </x:c>
      <x:c r="M12" s="2" t="str">
        <x:v>用户图片 #5，ICL 行</x:v>
      </x:c>
    </x:row>
    <x:row r="13" ht="27" customHeight="1">
      <x:c r="A13" s="10" t="str">
        <x:v>F5-Ours</x:v>
      </x:c>
      <x:c r="B13" s="10" t="n">
        <x:v>5</x:v>
      </x:c>
      <x:c r="C13" s="10" t="str">
        <x:v>E03</x:v>
      </x:c>
      <x:c r="D13" s="10" t="str">
        <x:v>Qwen3.5-35B-A3B</x:v>
      </x:c>
      <x:c r="E13" s="10" t="str">
        <x:v>Ours</x:v>
      </x:c>
      <x:c r="F13" s="26" t="n">
        <x:v>3.966</x:v>
      </x:c>
      <x:c r="G13" s="26" t="n">
        <x:v>4.119</x:v>
      </x:c>
      <x:c r="H13" s="26" t="n">
        <x:v>3.136</x:v>
      </x:c>
      <x:c r="I13" s="26" t="n">
        <x:v>3.288</x:v>
      </x:c>
      <x:c r="J13" s="26" t="n">
        <x:v>3.627</x:v>
      </x:c>
      <x:c r="K13" s="26" t="n">
        <x:v>3.627</x:v>
      </x:c>
      <x:c r="L13" s="10" t="str">
        <x:v>原表评分</x:v>
      </x:c>
      <x:c r="M13" s="10" t="str">
        <x:v>用户图片 #5，Ours 行</x:v>
      </x:c>
    </x:row>
    <x:row r="14" ht="27" customHeight="1">
      <x:c r="A14" s="2" t="str">
        <x:v>F6-Direct</x:v>
      </x:c>
      <x:c r="B14" s="2" t="n">
        <x:v>6</x:v>
      </x:c>
      <x:c r="C14" s="2" t="str">
        <x:v>E04</x:v>
      </x:c>
      <x:c r="D14" s="2" t="str">
        <x:v>Qwen3.5-35B-A3B</x:v>
      </x:c>
      <x:c r="E14" s="2" t="str">
        <x:v>Direct</x:v>
      </x:c>
      <x:c r="F14" s="25" t="n">
        <x:v>3.849</x:v>
      </x:c>
      <x:c r="G14" s="25" t="n">
        <x:v>4.183</x:v>
      </x:c>
      <x:c r="H14" s="25" t="n">
        <x:v>3.194</x:v>
      </x:c>
      <x:c r="I14" s="25" t="n">
        <x:v>3.226</x:v>
      </x:c>
      <x:c r="J14" s="25" t="n">
        <x:v>3.527</x:v>
      </x:c>
      <x:c r="K14" s="25" t="n">
        <x:v>3.596</x:v>
      </x:c>
      <x:c r="L14" s="2" t="str">
        <x:v>与#5评分相同；#7更新评分</x:v>
      </x:c>
      <x:c r="M14" s="2" t="str">
        <x:v>用户图片 #6，Direct 行</x:v>
      </x:c>
    </x:row>
    <x:row r="15" ht="27" customHeight="1">
      <x:c r="A15" s="10" t="str">
        <x:v>F6-CoT</x:v>
      </x:c>
      <x:c r="B15" s="10" t="n">
        <x:v>6</x:v>
      </x:c>
      <x:c r="C15" s="10" t="str">
        <x:v>E04</x:v>
      </x:c>
      <x:c r="D15" s="10" t="str">
        <x:v>Qwen3.5-35B-A3B</x:v>
      </x:c>
      <x:c r="E15" s="10" t="str">
        <x:v>CoT</x:v>
      </x:c>
      <x:c r="F15" s="26" t="n">
        <x:v>4</x:v>
      </x:c>
      <x:c r="G15" s="26" t="n">
        <x:v>4.286</x:v>
      </x:c>
      <x:c r="H15" s="26" t="n">
        <x:v>3.333</x:v>
      </x:c>
      <x:c r="I15" s="26" t="n">
        <x:v>3.476</x:v>
      </x:c>
      <x:c r="J15" s="26" t="n">
        <x:v>3.81</x:v>
      </x:c>
      <x:c r="K15" s="26" t="n">
        <x:v>3.781</x:v>
      </x:c>
      <x:c r="L15" s="10" t="str">
        <x:v>与#5评分相同；#7更新评分</x:v>
      </x:c>
      <x:c r="M15" s="10" t="str">
        <x:v>用户图片 #6，CoT 行</x:v>
      </x:c>
    </x:row>
    <x:row r="16" ht="27" customHeight="1">
      <x:c r="A16" s="2" t="str">
        <x:v>F6-ICL</x:v>
      </x:c>
      <x:c r="B16" s="2" t="n">
        <x:v>6</x:v>
      </x:c>
      <x:c r="C16" s="2" t="str">
        <x:v>E04</x:v>
      </x:c>
      <x:c r="D16" s="2" t="str">
        <x:v>Qwen3.5-35B-A3B</x:v>
      </x:c>
      <x:c r="E16" s="2" t="str">
        <x:v>ICL</x:v>
      </x:c>
      <x:c r="F16" s="25" t="n">
        <x:v>3.904</x:v>
      </x:c>
      <x:c r="G16" s="25" t="n">
        <x:v>4.181</x:v>
      </x:c>
      <x:c r="H16" s="25" t="n">
        <x:v>3.191</x:v>
      </x:c>
      <x:c r="I16" s="25" t="n">
        <x:v>3.234</x:v>
      </x:c>
      <x:c r="J16" s="25" t="n">
        <x:v>3.468</x:v>
      </x:c>
      <x:c r="K16" s="25" t="n">
        <x:v>3.596</x:v>
      </x:c>
      <x:c r="L16" s="2" t="str">
        <x:v>与#5评分相同；#7更新评分</x:v>
      </x:c>
      <x:c r="M16" s="2" t="str">
        <x:v>用户图片 #6，ICL 行</x:v>
      </x:c>
    </x:row>
    <x:row r="17" ht="27" customHeight="1">
      <x:c r="A17" s="10" t="str">
        <x:v>F6-Ours</x:v>
      </x:c>
      <x:c r="B17" s="10" t="n">
        <x:v>6</x:v>
      </x:c>
      <x:c r="C17" s="10" t="str">
        <x:v>E04</x:v>
      </x:c>
      <x:c r="D17" s="10" t="str">
        <x:v>Qwen3.5-35B-A3B</x:v>
      </x:c>
      <x:c r="E17" s="10" t="str">
        <x:v>Ours</x:v>
      </x:c>
      <x:c r="F17" s="26" t="n">
        <x:v>3.966</x:v>
      </x:c>
      <x:c r="G17" s="26" t="n">
        <x:v>4.119</x:v>
      </x:c>
      <x:c r="H17" s="26" t="n">
        <x:v>3.136</x:v>
      </x:c>
      <x:c r="I17" s="26" t="n">
        <x:v>3.288</x:v>
      </x:c>
      <x:c r="J17" s="26" t="n">
        <x:v>3.627</x:v>
      </x:c>
      <x:c r="K17" s="26" t="n">
        <x:v>3.627</x:v>
      </x:c>
      <x:c r="L17" s="10" t="str">
        <x:v>与#5评分相同；#7更新评分</x:v>
      </x:c>
      <x:c r="M17" s="10" t="str">
        <x:v>用户图片 #6，Ours 行</x:v>
      </x:c>
    </x:row>
    <x:row r="18" ht="27" customHeight="1">
      <x:c r="A18" s="2" t="str">
        <x:v>F7-Direct</x:v>
      </x:c>
      <x:c r="B18" s="2" t="n">
        <x:v>7</x:v>
      </x:c>
      <x:c r="C18" s="2" t="str">
        <x:v>E04</x:v>
      </x:c>
      <x:c r="D18" s="2" t="str">
        <x:v>Qwen3.5-35B-A3B</x:v>
      </x:c>
      <x:c r="E18" s="2" t="str">
        <x:v>Direct</x:v>
      </x:c>
      <x:c r="F18" s="25" t="n">
        <x:v>3.849</x:v>
      </x:c>
      <x:c r="G18" s="25" t="n">
        <x:v>4.183</x:v>
      </x:c>
      <x:c r="H18" s="25" t="n">
        <x:v>3.194</x:v>
      </x:c>
      <x:c r="I18" s="25" t="n">
        <x:v>3.226</x:v>
      </x:c>
      <x:c r="J18" s="25" t="n">
        <x:v>3.527</x:v>
      </x:c>
      <x:c r="K18" s="25" t="n">
        <x:v>3.596</x:v>
      </x:c>
      <x:c r="L18" s="2" t="str">
        <x:v>更新后的评分</x:v>
      </x:c>
      <x:c r="M18" s="2" t="str">
        <x:v>用户图片 #7，Direct 行</x:v>
      </x:c>
    </x:row>
    <x:row r="19" ht="27" customHeight="1">
      <x:c r="A19" s="10" t="str">
        <x:v>F7-CoT</x:v>
      </x:c>
      <x:c r="B19" s="10" t="n">
        <x:v>7</x:v>
      </x:c>
      <x:c r="C19" s="10" t="str">
        <x:v>E04</x:v>
      </x:c>
      <x:c r="D19" s="10" t="str">
        <x:v>Qwen3.5-35B-A3B</x:v>
      </x:c>
      <x:c r="E19" s="10" t="str">
        <x:v>CoT</x:v>
      </x:c>
      <x:c r="F19" s="26" t="n">
        <x:v>4</x:v>
      </x:c>
      <x:c r="G19" s="26" t="n">
        <x:v>4.286</x:v>
      </x:c>
      <x:c r="H19" s="26" t="n">
        <x:v>3.333</x:v>
      </x:c>
      <x:c r="I19" s="26" t="n">
        <x:v>3.476</x:v>
      </x:c>
      <x:c r="J19" s="26" t="n">
        <x:v>3.81</x:v>
      </x:c>
      <x:c r="K19" s="26" t="n">
        <x:v>3.781</x:v>
      </x:c>
      <x:c r="L19" s="10" t="str">
        <x:v>更新后的评分</x:v>
      </x:c>
      <x:c r="M19" s="10" t="str">
        <x:v>用户图片 #7，CoT 行</x:v>
      </x:c>
    </x:row>
    <x:row r="20" ht="27" customHeight="1">
      <x:c r="A20" s="2" t="str">
        <x:v>F7-ICL</x:v>
      </x:c>
      <x:c r="B20" s="2" t="n">
        <x:v>7</x:v>
      </x:c>
      <x:c r="C20" s="2" t="str">
        <x:v>E04</x:v>
      </x:c>
      <x:c r="D20" s="2" t="str">
        <x:v>Qwen3.5-35B-A3B</x:v>
      </x:c>
      <x:c r="E20" s="2" t="str">
        <x:v>ICL</x:v>
      </x:c>
      <x:c r="F20" s="25" t="n">
        <x:v>3.904</x:v>
      </x:c>
      <x:c r="G20" s="25" t="n">
        <x:v>4.181</x:v>
      </x:c>
      <x:c r="H20" s="25" t="n">
        <x:v>3.191</x:v>
      </x:c>
      <x:c r="I20" s="25" t="n">
        <x:v>3.234</x:v>
      </x:c>
      <x:c r="J20" s="25" t="n">
        <x:v>3.468</x:v>
      </x:c>
      <x:c r="K20" s="25" t="n">
        <x:v>3.596</x:v>
      </x:c>
      <x:c r="L20" s="2" t="str">
        <x:v>更新后的评分</x:v>
      </x:c>
      <x:c r="M20" s="2" t="str">
        <x:v>用户图片 #7，ICL 行</x:v>
      </x:c>
    </x:row>
    <x:row r="21" ht="27" customHeight="1">
      <x:c r="A21" s="10" t="str">
        <x:v>F7-Ours</x:v>
      </x:c>
      <x:c r="B21" s="10" t="n">
        <x:v>7</x:v>
      </x:c>
      <x:c r="C21" s="10" t="str">
        <x:v>E04</x:v>
      </x:c>
      <x:c r="D21" s="10" t="str">
        <x:v>Qwen3.5-35B-A3B</x:v>
      </x:c>
      <x:c r="E21" s="10" t="str">
        <x:v>Ours</x:v>
      </x:c>
      <x:c r="F21" s="26" t="n">
        <x:v>3.965</x:v>
      </x:c>
      <x:c r="G21" s="26" t="n">
        <x:v>4.14</x:v>
      </x:c>
      <x:c r="H21" s="26" t="n">
        <x:v>3.158</x:v>
      </x:c>
      <x:c r="I21" s="26" t="n">
        <x:v>3.263</x:v>
      </x:c>
      <x:c r="J21" s="26" t="n">
        <x:v>3.632</x:v>
      </x:c>
      <x:c r="K21" s="26" t="n">
        <x:v>3.632</x:v>
      </x:c>
      <x:c r="L21" s="10" t="str">
        <x:v>更新后的评分</x:v>
      </x:c>
      <x:c r="M21" s="10" t="str">
        <x:v>用户图片 #7，Ours 行</x:v>
      </x:c>
    </x:row>
  </x:sheetData>
  <x:pageMargins left="0.7" right="0.7" top="0.75" bottom="0.75" header="0.3" footer="0.3"/>
  <x:tableParts count="1">
    <x:tablePart xmlns:r="http://schemas.openxmlformats.org/officeDocument/2006/relationships" r:id="Rfaf3c06355f749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.5600004196167" hidden="0" customWidth="1"/>
    <x:col min="2" max="2" width="15" hidden="0" customWidth="1"/>
    <x:col min="3" max="3" width="1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3.329999923706055" hidden="0" customWidth="1"/>
    <x:col min="9" max="9" width="11.109999656677246" hidden="0" customWidth="1"/>
    <x:col min="10" max="10" width="14.4399995803833" hidden="0" customWidth="1"/>
    <x:col min="11" max="11" width="12.220000267028809" hidden="0" customWidth="1"/>
    <x:col min="12" max="12" width="27.219999313354492" hidden="0" customWidth="1"/>
    <x:col min="13" max="13" width="29.440000534057617" hidden="0" customWidth="1"/>
  </x:cols>
  <x:sheetData>
    <x:row r="1" ht="44" customHeight="1">
      <x:c r="A1" s="7" t="str">
        <x:v>方法</x:v>
      </x:c>
      <x:c r="B1" s="8" t="str">
        <x:v>总体平均轮次</x:v>
      </x:c>
      <x:c r="C1" s="8" t="str">
        <x:v>总体中位轮次</x:v>
      </x:c>
      <x:c r="D1" s="8" t="str">
        <x:v>正确树平均轮次</x:v>
      </x:c>
      <x:c r="E1" s="8" t="str">
        <x:v>正确树中位轮次</x:v>
      </x:c>
      <x:c r="F1" s="8" t="str">
        <x:v>错误树平均轮次</x:v>
      </x:c>
      <x:c r="G1" s="8" t="str">
        <x:v>错误树中位轮次</x:v>
      </x:c>
      <x:c r="H1" s="8" t="str">
        <x:v>≤3轮结束数</x:v>
      </x:c>
      <x:c r="I1" s="8" t="str">
        <x:v>判断总数</x:v>
      </x:c>
      <x:c r="J1" s="8" t="str">
        <x:v>≤3轮比例</x:v>
      </x:c>
      <x:c r="K1" s="8" t="str">
        <x:v>模型</x:v>
      </x:c>
      <x:c r="L1" s="8" t="str">
        <x:v>版本对应</x:v>
      </x:c>
      <x:c r="M1" s="9" t="str">
        <x:v>来源</x:v>
      </x:c>
    </x:row>
    <x:row r="2" ht="27" customHeight="1">
      <x:c r="A2" s="2" t="str">
        <x:v>Direct</x:v>
      </x:c>
      <x:c r="B2" s="29" t="n">
        <x:v>7.8</x:v>
      </x:c>
      <x:c r="C2" s="29" t="n">
        <x:v>8.5</x:v>
      </x:c>
      <x:c r="D2" s="29" t="n">
        <x:v>9.33</x:v>
      </x:c>
      <x:c r="E2" s="29" t="n">
        <x:v>10</x:v>
      </x:c>
      <x:c r="F2" s="29" t="n">
        <x:v>7.29</x:v>
      </x:c>
      <x:c r="G2" s="29" t="n">
        <x:v>7</x:v>
      </x:c>
      <x:c r="H2" s="13" t="n">
        <x:v>4</x:v>
      </x:c>
      <x:c r="I2" s="13" t="n">
        <x:v>132</x:v>
      </x:c>
      <x:c r="J2" s="17" t="n">
        <x:f>H2/I2</x:f>
        <x:v>0.030303030303030304</x:v>
      </x:c>
      <x:c r="K2" s="2" t="str">
        <x:v>未注明</x:v>
      </x:c>
      <x:c r="L2" s="2" t="str">
        <x:v>与主表版本未对齐</x:v>
      </x:c>
      <x:c r="M2" s="2" t="str">
        <x:v>用户图片 #2，相应方法行</x:v>
      </x:c>
    </x:row>
    <x:row r="3" ht="27" customHeight="1">
      <x:c r="A3" s="10" t="str">
        <x:v>CoT</x:v>
      </x:c>
      <x:c r="B3" s="30" t="n">
        <x:v>4.23</x:v>
      </x:c>
      <x:c r="C3" s="30" t="n">
        <x:v>4</x:v>
      </x:c>
      <x:c r="D3" s="30" t="n">
        <x:v>5.03</x:v>
      </x:c>
      <x:c r="E3" s="30" t="n">
        <x:v>5</x:v>
      </x:c>
      <x:c r="F3" s="30" t="n">
        <x:v>3.96</x:v>
      </x:c>
      <x:c r="G3" s="30" t="n">
        <x:v>3</x:v>
      </x:c>
      <x:c r="H3" s="14" t="n">
        <x:v>61</x:v>
      </x:c>
      <x:c r="I3" s="14" t="n">
        <x:v>132</x:v>
      </x:c>
      <x:c r="J3" s="18" t="n">
        <x:f>H3/I3</x:f>
        <x:v>0.4621212121212121</x:v>
      </x:c>
      <x:c r="K3" s="10" t="str">
        <x:v>未注明</x:v>
      </x:c>
      <x:c r="L3" s="10" t="str">
        <x:v>与主表版本未对齐</x:v>
      </x:c>
      <x:c r="M3" s="10" t="str">
        <x:v>用户图片 #2，相应方法行</x:v>
      </x:c>
    </x:row>
    <x:row r="4" ht="27" customHeight="1">
      <x:c r="A4" s="2" t="str">
        <x:v>ICL</x:v>
      </x:c>
      <x:c r="B4" s="29" t="n">
        <x:v>8.14</x:v>
      </x:c>
      <x:c r="C4" s="29" t="n">
        <x:v>10</x:v>
      </x:c>
      <x:c r="D4" s="29" t="n">
        <x:v>9.79</x:v>
      </x:c>
      <x:c r="E4" s="29" t="n">
        <x:v>10</x:v>
      </x:c>
      <x:c r="F4" s="29" t="n">
        <x:v>7.6</x:v>
      </x:c>
      <x:c r="G4" s="29" t="n">
        <x:v>8</x:v>
      </x:c>
      <x:c r="H4" s="13" t="n">
        <x:v>4</x:v>
      </x:c>
      <x:c r="I4" s="13" t="n">
        <x:v>132</x:v>
      </x:c>
      <x:c r="J4" s="17" t="n">
        <x:f>H4/I4</x:f>
        <x:v>0.030303030303030304</x:v>
      </x:c>
      <x:c r="K4" s="2" t="str">
        <x:v>未注明</x:v>
      </x:c>
      <x:c r="L4" s="2" t="str">
        <x:v>与主表版本未对齐</x:v>
      </x:c>
      <x:c r="M4" s="2" t="str">
        <x:v>用户图片 #2，相应方法行</x:v>
      </x:c>
    </x:row>
    <x:row r="5" ht="27" customHeight="1">
      <x:c r="A5" s="10" t="str">
        <x:v>Ours</x:v>
      </x:c>
      <x:c r="B5" s="30" t="n">
        <x:v>6.44</x:v>
      </x:c>
      <x:c r="C5" s="30" t="n">
        <x:v>2</x:v>
      </x:c>
      <x:c r="D5" s="30" t="n">
        <x:v>12.36</x:v>
      </x:c>
      <x:c r="E5" s="30" t="n">
        <x:v>12</x:v>
      </x:c>
      <x:c r="F5" s="30" t="n">
        <x:v>4.46</x:v>
      </x:c>
      <x:c r="G5" s="30" t="n">
        <x:v>2</x:v>
      </x:c>
      <x:c r="H5" s="14" t="n">
        <x:v>76</x:v>
      </x:c>
      <x:c r="I5" s="14" t="n">
        <x:v>132</x:v>
      </x:c>
      <x:c r="J5" s="18" t="n">
        <x:f>H5/I5</x:f>
        <x:v>0.5757575757575758</x:v>
      </x:c>
      <x:c r="K5" s="10" t="str">
        <x:v>未注明</x:v>
      </x:c>
      <x:c r="L5" s="10" t="str">
        <x:v>与主表版本未对齐</x:v>
      </x:c>
      <x:c r="M5" s="10" t="str">
        <x:v>用户图片 #2，相应方法行</x:v>
      </x:c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7" customHeight="1">
      <x:c r="A7" s="31" t="str">
        <x:v>平均轮次不包含所有调用成本。模型与版本未对齐，不能与 Qwen 复检表直接拼接。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7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7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</x:sheetData>
  <x:pageMargins left="0.7" right="0.7" top="0.75" bottom="0.75" header="0.3" footer="0.3"/>
  <x:tableParts count="1">
    <x:tablePart xmlns:r="http://schemas.openxmlformats.org/officeDocument/2006/relationships" r:id="R0d41b04abe534bb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16.670000076293945" hidden="0" customWidth="1"/>
    <x:col min="3" max="3" width="31.670000076293945" hidden="0" customWidth="1"/>
    <x:col min="4" max="4" width="21.110000610351562" hidden="0" customWidth="1"/>
    <x:col min="5" max="5" width="23.329999923706055" hidden="0" customWidth="1"/>
    <x:col min="6" max="6" width="16.670000076293945" hidden="0" customWidth="1"/>
    <x:col min="7" max="7" width="15" hidden="0" customWidth="1"/>
    <x:col min="8" max="8" width="15" hidden="0" customWidth="1"/>
    <x:col min="9" max="9" width="15.5600004196167" hidden="0" customWidth="1"/>
    <x:col min="10" max="10" width="15" hidden="0" customWidth="1"/>
    <x:col min="11" max="11" width="31.670000076293945" hidden="0" customWidth="1"/>
  </x:cols>
  <x:sheetData>
    <x:row r="1" ht="44" customHeight="1">
      <x:c r="A1" s="7" t="str">
        <x:v>消融ID</x:v>
      </x:c>
      <x:c r="B1" s="8" t="str">
        <x:v>树结构</x:v>
      </x:c>
      <x:c r="C1" s="8" t="str">
        <x:v>具体改动（待填写）</x:v>
      </x:c>
      <x:c r="D1" s="8" t="str">
        <x:v>结果对应</x:v>
      </x:c>
      <x:c r="E1" s="8" t="str">
        <x:v>模型</x:v>
      </x:c>
      <x:c r="F1" s="8" t="str">
        <x:v>最终复检</x:v>
      </x:c>
      <x:c r="G1" s="8" t="str">
        <x:v>正确树判对数</x:v>
      </x:c>
      <x:c r="H1" s="8" t="str">
        <x:v>正确树分母</x:v>
      </x:c>
      <x:c r="I1" s="8" t="str">
        <x:v>错误树排除数</x:v>
      </x:c>
      <x:c r="J1" s="8" t="str">
        <x:v>错误树分母</x:v>
      </x:c>
      <x:c r="K1" s="9" t="str">
        <x:v>记录状态</x:v>
      </x:c>
    </x:row>
    <x:row r="2" ht="27" customHeight="1">
      <x:c r="A2" s="2" t="str">
        <x:v>S00</x:v>
      </x:c>
      <x:c r="B2" s="2" t="str">
        <x:v>原始树</x:v>
      </x:c>
      <x:c r="C2" s="39"/>
      <x:c r="D2" s="39"/>
      <x:c r="E2" s="39"/>
      <x:c r="F2" s="39"/>
      <x:c r="G2" s="39"/>
      <x:c r="H2" s="39"/>
      <x:c r="I2" s="39"/>
      <x:c r="J2" s="39"/>
      <x:c r="K2" s="2" t="str">
        <x:v>基线版本待匹配</x:v>
      </x:c>
    </x:row>
    <x:row r="3" ht="27" customHeight="1">
      <x:c r="A3" s="10" t="str">
        <x:v>S01</x:v>
      </x:c>
      <x:c r="B3" s="10" t="str">
        <x:v>新增节点</x:v>
      </x:c>
      <x:c r="C3" s="39"/>
      <x:c r="D3" s="39"/>
      <x:c r="E3" s="39"/>
      <x:c r="F3" s="39"/>
      <x:c r="G3" s="39"/>
      <x:c r="H3" s="39"/>
      <x:c r="I3" s="39"/>
      <x:c r="J3" s="39"/>
      <x:c r="K3" s="10" t="str">
        <x:v>研究者提及，结果待匹配</x:v>
      </x:c>
    </x:row>
    <x:row r="4" ht="27" customHeight="1">
      <x:c r="A4" s="2" t="str">
        <x:v>S02</x:v>
      </x:c>
      <x:c r="B4" s="2" t="str">
        <x:v>DSM补充树</x:v>
      </x:c>
      <x:c r="C4" s="39"/>
      <x:c r="D4" s="39"/>
      <x:c r="E4" s="39"/>
      <x:c r="F4" s="39"/>
      <x:c r="G4" s="39"/>
      <x:c r="H4" s="39"/>
      <x:c r="I4" s="39"/>
      <x:c r="J4" s="39"/>
      <x:c r="K4" s="2" t="str">
        <x:v>研究者提及，结果待匹配</x:v>
      </x:c>
    </x:row>
    <x:row r="5" ht="27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7" customHeight="1">
      <x:c r="A6" s="31" t="str">
        <x:v>新增节点与 DSM 补树可能重叠。先核对是否分别消融或联合修改，不假定它们已独立运行。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7" customHeight="1">
      <x:c r="A7" s="31" t="str">
        <x:v>此前研究者确认 Qwen 110/132 到 117/132 仅增加复判，因此暂不把该差异归因于树修改。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7" customHeight="1">
      <x:c r="A8" s="31" t="str">
        <x:v>请填写树版本、变更节点、模型、复检开关和对应图片/日志，再补入已审核的计数。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7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</x:sheetData>
  <x:pageMargins left="0.7" right="0.7" top="0.75" bottom="0.75" header="0.3" footer="0.3"/>
</x:worksheet>
</file>